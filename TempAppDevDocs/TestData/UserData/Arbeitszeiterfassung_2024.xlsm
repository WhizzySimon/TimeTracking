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ivate\Dev\Timekeeping\UserData\"/>
    </mc:Choice>
  </mc:AlternateContent>
  <xr:revisionPtr revIDLastSave="0" documentId="13_ncr:1_{7D191D59-9A51-4B44-A4D1-043A341D7222}" xr6:coauthVersionLast="47" xr6:coauthVersionMax="47" xr10:uidLastSave="{00000000-0000-0000-0000-000000000000}"/>
  <bookViews>
    <workbookView xWindow="-110" yWindow="-110" windowWidth="25820" windowHeight="15500" firstSheet="1" activeTab="12" xr2:uid="{48AFA973-85BC-4AA3-8C0A-04BA01EDF12F}"/>
  </bookViews>
  <sheets>
    <sheet name="KalenderWochen" sheetId="5" r:id="rId1"/>
    <sheet name="Vorlage" sheetId="7" r:id="rId2"/>
    <sheet name="KW1" sheetId="15" r:id="rId3"/>
    <sheet name="KW2" sheetId="17" r:id="rId4"/>
    <sheet name="KW3" sheetId="18" r:id="rId5"/>
    <sheet name="KW4" sheetId="19" r:id="rId6"/>
    <sheet name="KW5" sheetId="20" r:id="rId7"/>
    <sheet name="KW6" sheetId="21" r:id="rId8"/>
    <sheet name="KW7" sheetId="22" r:id="rId9"/>
    <sheet name="KW9" sheetId="23" r:id="rId10"/>
    <sheet name="KW10" sheetId="24" r:id="rId11"/>
    <sheet name="KW11" sheetId="25" r:id="rId12"/>
    <sheet name="Auswertung" sheetId="12" r:id="rId13"/>
    <sheet name="Einstellungen" sheetId="4" r:id="rId14"/>
  </sheets>
  <functionGroups builtInGroupCount="19"/>
  <definedNames>
    <definedName name="KalenderWochen">KalenderWochen!$A$2:$H$53</definedName>
    <definedName name="Tätigkeiten">Einstellungen!$A$2:$A$73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1" i="25" l="1"/>
  <c r="W21" i="25" s="1"/>
  <c r="U19" i="25"/>
  <c r="R19" i="25"/>
  <c r="O19" i="25"/>
  <c r="L19" i="25"/>
  <c r="I19" i="25"/>
  <c r="F19" i="25"/>
  <c r="C19" i="25"/>
  <c r="U18" i="25"/>
  <c r="R18" i="25"/>
  <c r="O18" i="25"/>
  <c r="L18" i="25"/>
  <c r="I18" i="25"/>
  <c r="F18" i="25"/>
  <c r="C18" i="25"/>
  <c r="U17" i="25"/>
  <c r="R17" i="25"/>
  <c r="O17" i="25"/>
  <c r="L17" i="25"/>
  <c r="I17" i="25"/>
  <c r="F17" i="25"/>
  <c r="C17" i="25"/>
  <c r="U16" i="25"/>
  <c r="R16" i="25"/>
  <c r="O16" i="25"/>
  <c r="L16" i="25"/>
  <c r="I16" i="25"/>
  <c r="F16" i="25"/>
  <c r="C16" i="25"/>
  <c r="U15" i="25"/>
  <c r="R15" i="25"/>
  <c r="O15" i="25"/>
  <c r="L15" i="25"/>
  <c r="I15" i="25"/>
  <c r="F15" i="25"/>
  <c r="C15" i="25"/>
  <c r="U14" i="25"/>
  <c r="R14" i="25"/>
  <c r="O14" i="25"/>
  <c r="L14" i="25"/>
  <c r="I14" i="25"/>
  <c r="F14" i="25"/>
  <c r="C14" i="25"/>
  <c r="U13" i="25"/>
  <c r="R13" i="25"/>
  <c r="O13" i="25"/>
  <c r="L13" i="25"/>
  <c r="I13" i="25"/>
  <c r="F13" i="25"/>
  <c r="C13" i="25"/>
  <c r="U12" i="25"/>
  <c r="R12" i="25"/>
  <c r="O12" i="25"/>
  <c r="L12" i="25"/>
  <c r="I12" i="25"/>
  <c r="F12" i="25"/>
  <c r="C12" i="25"/>
  <c r="U11" i="25"/>
  <c r="R11" i="25"/>
  <c r="O11" i="25"/>
  <c r="L11" i="25"/>
  <c r="I11" i="25"/>
  <c r="F11" i="25"/>
  <c r="C11" i="25"/>
  <c r="U10" i="25"/>
  <c r="R10" i="25"/>
  <c r="O10" i="25"/>
  <c r="L10" i="25"/>
  <c r="I10" i="25"/>
  <c r="F10" i="25"/>
  <c r="C10" i="25"/>
  <c r="U9" i="25"/>
  <c r="R9" i="25"/>
  <c r="O9" i="25"/>
  <c r="L9" i="25"/>
  <c r="I9" i="25"/>
  <c r="F9" i="25"/>
  <c r="C9" i="25"/>
  <c r="U8" i="25"/>
  <c r="R8" i="25"/>
  <c r="O8" i="25"/>
  <c r="L8" i="25"/>
  <c r="I8" i="25"/>
  <c r="F8" i="25"/>
  <c r="C8" i="25"/>
  <c r="U7" i="25"/>
  <c r="R7" i="25"/>
  <c r="O7" i="25"/>
  <c r="L7" i="25"/>
  <c r="I7" i="25"/>
  <c r="F7" i="25"/>
  <c r="C7" i="25"/>
  <c r="U6" i="25"/>
  <c r="R6" i="25"/>
  <c r="O6" i="25"/>
  <c r="L6" i="25"/>
  <c r="I6" i="25"/>
  <c r="F6" i="25"/>
  <c r="C6" i="25"/>
  <c r="U5" i="25"/>
  <c r="R5" i="25"/>
  <c r="O5" i="25"/>
  <c r="L5" i="25"/>
  <c r="I5" i="25"/>
  <c r="F5" i="25"/>
  <c r="C5" i="25"/>
  <c r="U4" i="25"/>
  <c r="R4" i="25"/>
  <c r="O4" i="25"/>
  <c r="L4" i="25"/>
  <c r="I4" i="25"/>
  <c r="F4" i="25"/>
  <c r="C4" i="25"/>
  <c r="T2" i="25" a="1"/>
  <c r="T2" i="25" s="1"/>
  <c r="Q2" i="25" a="1"/>
  <c r="Q2" i="25" s="1"/>
  <c r="N2" i="25" a="1"/>
  <c r="N2" i="25" s="1"/>
  <c r="K2" i="25" a="1"/>
  <c r="K2" i="25" s="1"/>
  <c r="H2" i="25" a="1"/>
  <c r="H2" i="25" s="1"/>
  <c r="E2" i="25" a="1"/>
  <c r="E2" i="25" s="1"/>
  <c r="B2" i="25" a="1"/>
  <c r="B2" i="25" s="1"/>
  <c r="U21" i="24"/>
  <c r="W21" i="24" s="1"/>
  <c r="U19" i="24"/>
  <c r="R19" i="24"/>
  <c r="O19" i="24"/>
  <c r="L19" i="24"/>
  <c r="I19" i="24"/>
  <c r="F19" i="24"/>
  <c r="C19" i="24"/>
  <c r="U18" i="24"/>
  <c r="R18" i="24"/>
  <c r="O18" i="24"/>
  <c r="L18" i="24"/>
  <c r="I18" i="24"/>
  <c r="F18" i="24"/>
  <c r="C18" i="24"/>
  <c r="U17" i="24"/>
  <c r="R17" i="24"/>
  <c r="O17" i="24"/>
  <c r="L17" i="24"/>
  <c r="I17" i="24"/>
  <c r="F17" i="24"/>
  <c r="C17" i="24"/>
  <c r="U16" i="24"/>
  <c r="R16" i="24"/>
  <c r="O16" i="24"/>
  <c r="L16" i="24"/>
  <c r="I16" i="24"/>
  <c r="F16" i="24"/>
  <c r="C16" i="24"/>
  <c r="U15" i="24"/>
  <c r="R15" i="24"/>
  <c r="O15" i="24"/>
  <c r="L15" i="24"/>
  <c r="I15" i="24"/>
  <c r="F15" i="24"/>
  <c r="C15" i="24"/>
  <c r="U14" i="24"/>
  <c r="R14" i="24"/>
  <c r="O14" i="24"/>
  <c r="L14" i="24"/>
  <c r="I14" i="24"/>
  <c r="F14" i="24"/>
  <c r="C14" i="24"/>
  <c r="U13" i="24"/>
  <c r="R13" i="24"/>
  <c r="O13" i="24"/>
  <c r="L13" i="24"/>
  <c r="I13" i="24"/>
  <c r="F13" i="24"/>
  <c r="C13" i="24"/>
  <c r="U12" i="24"/>
  <c r="R12" i="24"/>
  <c r="O12" i="24"/>
  <c r="L12" i="24"/>
  <c r="I12" i="24"/>
  <c r="F12" i="24"/>
  <c r="C12" i="24"/>
  <c r="U11" i="24"/>
  <c r="R11" i="24"/>
  <c r="O11" i="24"/>
  <c r="L11" i="24"/>
  <c r="I11" i="24"/>
  <c r="F11" i="24"/>
  <c r="C11" i="24"/>
  <c r="U10" i="24"/>
  <c r="R10" i="24"/>
  <c r="O10" i="24"/>
  <c r="L10" i="24"/>
  <c r="I10" i="24"/>
  <c r="F10" i="24"/>
  <c r="C10" i="24"/>
  <c r="U9" i="24"/>
  <c r="R9" i="24"/>
  <c r="O9" i="24"/>
  <c r="L9" i="24"/>
  <c r="I9" i="24"/>
  <c r="F9" i="24"/>
  <c r="C9" i="24"/>
  <c r="U8" i="24"/>
  <c r="R8" i="24"/>
  <c r="O8" i="24"/>
  <c r="L8" i="24"/>
  <c r="I8" i="24"/>
  <c r="F8" i="24"/>
  <c r="C8" i="24"/>
  <c r="U7" i="24"/>
  <c r="R7" i="24"/>
  <c r="O7" i="24"/>
  <c r="L7" i="24"/>
  <c r="I7" i="24"/>
  <c r="F7" i="24"/>
  <c r="C7" i="24"/>
  <c r="U6" i="24"/>
  <c r="R6" i="24"/>
  <c r="O6" i="24"/>
  <c r="L6" i="24"/>
  <c r="I6" i="24"/>
  <c r="F6" i="24"/>
  <c r="C6" i="24"/>
  <c r="U5" i="24"/>
  <c r="R5" i="24"/>
  <c r="O5" i="24"/>
  <c r="L5" i="24"/>
  <c r="I5" i="24"/>
  <c r="F5" i="24"/>
  <c r="C5" i="24"/>
  <c r="U4" i="24"/>
  <c r="R4" i="24"/>
  <c r="O4" i="24"/>
  <c r="L4" i="24"/>
  <c r="I4" i="24"/>
  <c r="F4" i="24"/>
  <c r="C4" i="24"/>
  <c r="T2" i="24" a="1"/>
  <c r="T2" i="24" s="1"/>
  <c r="Q2" i="24" a="1"/>
  <c r="Q2" i="24" s="1"/>
  <c r="N2" i="24" a="1"/>
  <c r="N2" i="24" s="1"/>
  <c r="K2" i="24" a="1"/>
  <c r="K2" i="24" s="1"/>
  <c r="H2" i="24" a="1"/>
  <c r="H2" i="24" s="1"/>
  <c r="E2" i="24" a="1"/>
  <c r="E2" i="24" s="1"/>
  <c r="B2" i="24" a="1"/>
  <c r="B2" i="24" s="1"/>
  <c r="U21" i="23"/>
  <c r="W21" i="23" s="1"/>
  <c r="U19" i="23"/>
  <c r="R19" i="23"/>
  <c r="O19" i="23"/>
  <c r="L19" i="23"/>
  <c r="I19" i="23"/>
  <c r="F19" i="23"/>
  <c r="C19" i="23"/>
  <c r="U18" i="23"/>
  <c r="R18" i="23"/>
  <c r="O18" i="23"/>
  <c r="L18" i="23"/>
  <c r="I18" i="23"/>
  <c r="F18" i="23"/>
  <c r="C18" i="23"/>
  <c r="U17" i="23"/>
  <c r="R17" i="23"/>
  <c r="O17" i="23"/>
  <c r="L17" i="23"/>
  <c r="I17" i="23"/>
  <c r="F17" i="23"/>
  <c r="C17" i="23"/>
  <c r="U16" i="23"/>
  <c r="R16" i="23"/>
  <c r="O16" i="23"/>
  <c r="L16" i="23"/>
  <c r="I16" i="23"/>
  <c r="F16" i="23"/>
  <c r="C16" i="23"/>
  <c r="U15" i="23"/>
  <c r="R15" i="23"/>
  <c r="O15" i="23"/>
  <c r="L15" i="23"/>
  <c r="I15" i="23"/>
  <c r="F15" i="23"/>
  <c r="C15" i="23"/>
  <c r="U14" i="23"/>
  <c r="R14" i="23"/>
  <c r="O14" i="23"/>
  <c r="L14" i="23"/>
  <c r="I14" i="23"/>
  <c r="F14" i="23"/>
  <c r="C14" i="23"/>
  <c r="U13" i="23"/>
  <c r="R13" i="23"/>
  <c r="O13" i="23"/>
  <c r="L13" i="23"/>
  <c r="I13" i="23"/>
  <c r="F13" i="23"/>
  <c r="C13" i="23"/>
  <c r="U12" i="23"/>
  <c r="R12" i="23"/>
  <c r="O12" i="23"/>
  <c r="L12" i="23"/>
  <c r="I12" i="23"/>
  <c r="F12" i="23"/>
  <c r="C12" i="23"/>
  <c r="U11" i="23"/>
  <c r="R11" i="23"/>
  <c r="O11" i="23"/>
  <c r="L11" i="23"/>
  <c r="I11" i="23"/>
  <c r="F11" i="23"/>
  <c r="C11" i="23"/>
  <c r="U10" i="23"/>
  <c r="R10" i="23"/>
  <c r="O10" i="23"/>
  <c r="L10" i="23"/>
  <c r="I10" i="23"/>
  <c r="F10" i="23"/>
  <c r="C10" i="23"/>
  <c r="U9" i="23"/>
  <c r="R9" i="23"/>
  <c r="O9" i="23"/>
  <c r="L9" i="23"/>
  <c r="I9" i="23"/>
  <c r="F9" i="23"/>
  <c r="C9" i="23"/>
  <c r="U8" i="23"/>
  <c r="R8" i="23"/>
  <c r="O8" i="23"/>
  <c r="L8" i="23"/>
  <c r="I8" i="23"/>
  <c r="F8" i="23"/>
  <c r="C8" i="23"/>
  <c r="U7" i="23"/>
  <c r="R7" i="23"/>
  <c r="O7" i="23"/>
  <c r="L7" i="23"/>
  <c r="I7" i="23"/>
  <c r="F7" i="23"/>
  <c r="C7" i="23"/>
  <c r="U6" i="23"/>
  <c r="R6" i="23"/>
  <c r="O6" i="23"/>
  <c r="L6" i="23"/>
  <c r="I6" i="23"/>
  <c r="F6" i="23"/>
  <c r="C6" i="23"/>
  <c r="U5" i="23"/>
  <c r="R5" i="23"/>
  <c r="O5" i="23"/>
  <c r="L5" i="23"/>
  <c r="I5" i="23"/>
  <c r="F5" i="23"/>
  <c r="C5" i="23"/>
  <c r="U4" i="23"/>
  <c r="R4" i="23"/>
  <c r="O4" i="23"/>
  <c r="L4" i="23"/>
  <c r="I4" i="23"/>
  <c r="F4" i="23"/>
  <c r="C4" i="23"/>
  <c r="T2" i="23" a="1"/>
  <c r="T2" i="23" s="1"/>
  <c r="Q2" i="23" a="1"/>
  <c r="Q2" i="23" s="1"/>
  <c r="N2" i="23" a="1"/>
  <c r="N2" i="23" s="1"/>
  <c r="K2" i="23" a="1"/>
  <c r="K2" i="23" s="1"/>
  <c r="H2" i="23" a="1"/>
  <c r="H2" i="23" s="1"/>
  <c r="E2" i="23"/>
  <c r="E2" i="23" a="1"/>
  <c r="B2" i="23" a="1"/>
  <c r="B2" i="23" s="1"/>
  <c r="U21" i="22"/>
  <c r="W21" i="22" s="1"/>
  <c r="U19" i="22"/>
  <c r="R19" i="22"/>
  <c r="O19" i="22"/>
  <c r="L19" i="22"/>
  <c r="I19" i="22"/>
  <c r="F19" i="22"/>
  <c r="C19" i="22"/>
  <c r="U18" i="22"/>
  <c r="R18" i="22"/>
  <c r="O18" i="22"/>
  <c r="L18" i="22"/>
  <c r="I18" i="22"/>
  <c r="F18" i="22"/>
  <c r="C18" i="22"/>
  <c r="U17" i="22"/>
  <c r="R17" i="22"/>
  <c r="O17" i="22"/>
  <c r="L17" i="22"/>
  <c r="I17" i="22"/>
  <c r="F17" i="22"/>
  <c r="C17" i="22"/>
  <c r="U16" i="22"/>
  <c r="R16" i="22"/>
  <c r="O16" i="22"/>
  <c r="L16" i="22"/>
  <c r="I16" i="22"/>
  <c r="F16" i="22"/>
  <c r="C16" i="22"/>
  <c r="U15" i="22"/>
  <c r="R15" i="22"/>
  <c r="O15" i="22"/>
  <c r="L15" i="22"/>
  <c r="I15" i="22"/>
  <c r="F15" i="22"/>
  <c r="C15" i="22"/>
  <c r="U14" i="22"/>
  <c r="R14" i="22"/>
  <c r="O14" i="22"/>
  <c r="L14" i="22"/>
  <c r="I14" i="22"/>
  <c r="F14" i="22"/>
  <c r="C14" i="22"/>
  <c r="U13" i="22"/>
  <c r="R13" i="22"/>
  <c r="O13" i="22"/>
  <c r="L13" i="22"/>
  <c r="I13" i="22"/>
  <c r="F13" i="22"/>
  <c r="C13" i="22"/>
  <c r="U12" i="22"/>
  <c r="R12" i="22"/>
  <c r="O12" i="22"/>
  <c r="L12" i="22"/>
  <c r="I12" i="22"/>
  <c r="F12" i="22"/>
  <c r="C12" i="22"/>
  <c r="U11" i="22"/>
  <c r="R11" i="22"/>
  <c r="O11" i="22"/>
  <c r="L11" i="22"/>
  <c r="I11" i="22"/>
  <c r="F11" i="22"/>
  <c r="C11" i="22"/>
  <c r="U10" i="22"/>
  <c r="R10" i="22"/>
  <c r="O10" i="22"/>
  <c r="L10" i="22"/>
  <c r="I10" i="22"/>
  <c r="F10" i="22"/>
  <c r="C10" i="22"/>
  <c r="U9" i="22"/>
  <c r="R9" i="22"/>
  <c r="O9" i="22"/>
  <c r="L9" i="22"/>
  <c r="I9" i="22"/>
  <c r="F9" i="22"/>
  <c r="C9" i="22"/>
  <c r="U8" i="22"/>
  <c r="R8" i="22"/>
  <c r="O8" i="22"/>
  <c r="L8" i="22"/>
  <c r="I8" i="22"/>
  <c r="F8" i="22"/>
  <c r="C8" i="22"/>
  <c r="U7" i="22"/>
  <c r="R7" i="22"/>
  <c r="O7" i="22"/>
  <c r="L7" i="22"/>
  <c r="I7" i="22"/>
  <c r="F7" i="22"/>
  <c r="C7" i="22"/>
  <c r="U6" i="22"/>
  <c r="R6" i="22"/>
  <c r="O6" i="22"/>
  <c r="L6" i="22"/>
  <c r="I6" i="22"/>
  <c r="F6" i="22"/>
  <c r="C6" i="22"/>
  <c r="U5" i="22"/>
  <c r="R5" i="22"/>
  <c r="O5" i="22"/>
  <c r="L5" i="22"/>
  <c r="I5" i="22"/>
  <c r="F5" i="22"/>
  <c r="U4" i="22"/>
  <c r="R4" i="22"/>
  <c r="O4" i="22"/>
  <c r="L4" i="22"/>
  <c r="I4" i="22"/>
  <c r="F4" i="22"/>
  <c r="C4" i="22"/>
  <c r="T2" i="22" a="1"/>
  <c r="T2" i="22" s="1"/>
  <c r="Q2" i="22" a="1"/>
  <c r="Q2" i="22" s="1"/>
  <c r="N2" i="22" a="1"/>
  <c r="N2" i="22" s="1"/>
  <c r="K2" i="22" a="1"/>
  <c r="K2" i="22" s="1"/>
  <c r="H2" i="22" a="1"/>
  <c r="H2" i="22" s="1"/>
  <c r="E2" i="22" a="1"/>
  <c r="E2" i="22" s="1"/>
  <c r="B2" i="22" a="1"/>
  <c r="B2" i="22" s="1"/>
  <c r="U21" i="21"/>
  <c r="W21" i="21" s="1"/>
  <c r="U19" i="21"/>
  <c r="R19" i="21"/>
  <c r="O19" i="21"/>
  <c r="L19" i="21"/>
  <c r="I19" i="21"/>
  <c r="F19" i="21"/>
  <c r="C19" i="21"/>
  <c r="U18" i="21"/>
  <c r="R18" i="21"/>
  <c r="O18" i="21"/>
  <c r="L18" i="21"/>
  <c r="I18" i="21"/>
  <c r="F18" i="21"/>
  <c r="C18" i="21"/>
  <c r="U17" i="21"/>
  <c r="R17" i="21"/>
  <c r="O17" i="21"/>
  <c r="L17" i="21"/>
  <c r="I17" i="21"/>
  <c r="F17" i="21"/>
  <c r="C17" i="21"/>
  <c r="U16" i="21"/>
  <c r="R16" i="21"/>
  <c r="O16" i="21"/>
  <c r="L16" i="21"/>
  <c r="I16" i="21"/>
  <c r="F16" i="21"/>
  <c r="C16" i="21"/>
  <c r="U15" i="21"/>
  <c r="R15" i="21"/>
  <c r="O15" i="21"/>
  <c r="L15" i="21"/>
  <c r="I15" i="21"/>
  <c r="F15" i="21"/>
  <c r="C15" i="21"/>
  <c r="U14" i="21"/>
  <c r="R14" i="21"/>
  <c r="O14" i="21"/>
  <c r="L14" i="21"/>
  <c r="I14" i="21"/>
  <c r="F14" i="21"/>
  <c r="C14" i="21"/>
  <c r="U13" i="21"/>
  <c r="R13" i="21"/>
  <c r="O13" i="21"/>
  <c r="L13" i="21"/>
  <c r="I13" i="21"/>
  <c r="F13" i="21"/>
  <c r="C13" i="21"/>
  <c r="U12" i="21"/>
  <c r="R12" i="21"/>
  <c r="O12" i="21"/>
  <c r="L12" i="21"/>
  <c r="I12" i="21"/>
  <c r="F12" i="21"/>
  <c r="C12" i="21"/>
  <c r="U11" i="21"/>
  <c r="R11" i="21"/>
  <c r="O11" i="21"/>
  <c r="L11" i="21"/>
  <c r="I11" i="21"/>
  <c r="F11" i="21"/>
  <c r="C11" i="21"/>
  <c r="U10" i="21"/>
  <c r="R10" i="21"/>
  <c r="O10" i="21"/>
  <c r="L10" i="21"/>
  <c r="I10" i="21"/>
  <c r="F10" i="21"/>
  <c r="C10" i="21"/>
  <c r="U9" i="21"/>
  <c r="R9" i="21"/>
  <c r="O9" i="21"/>
  <c r="L9" i="21"/>
  <c r="I9" i="21"/>
  <c r="F9" i="21"/>
  <c r="C9" i="21"/>
  <c r="U8" i="21"/>
  <c r="R8" i="21"/>
  <c r="O8" i="21"/>
  <c r="L8" i="21"/>
  <c r="I8" i="21"/>
  <c r="F8" i="21"/>
  <c r="C8" i="21"/>
  <c r="U7" i="21"/>
  <c r="R7" i="21"/>
  <c r="O7" i="21"/>
  <c r="L7" i="21"/>
  <c r="I7" i="21"/>
  <c r="F7" i="21"/>
  <c r="C7" i="21"/>
  <c r="U6" i="21"/>
  <c r="R6" i="21"/>
  <c r="O6" i="21"/>
  <c r="L6" i="21"/>
  <c r="I6" i="21"/>
  <c r="F6" i="21"/>
  <c r="C6" i="21"/>
  <c r="U5" i="21"/>
  <c r="R5" i="21"/>
  <c r="O5" i="21"/>
  <c r="L5" i="21"/>
  <c r="I5" i="21"/>
  <c r="F5" i="21"/>
  <c r="C5" i="21"/>
  <c r="U4" i="21"/>
  <c r="R4" i="21"/>
  <c r="O4" i="21"/>
  <c r="L4" i="21"/>
  <c r="I4" i="21"/>
  <c r="F4" i="21"/>
  <c r="C4" i="21"/>
  <c r="T2" i="21" a="1"/>
  <c r="T2" i="21" s="1"/>
  <c r="Q2" i="21" a="1"/>
  <c r="Q2" i="21" s="1"/>
  <c r="N2" i="21" a="1"/>
  <c r="N2" i="21" s="1"/>
  <c r="K2" i="21" a="1"/>
  <c r="K2" i="21" s="1"/>
  <c r="H2" i="21" a="1"/>
  <c r="H2" i="21" s="1"/>
  <c r="E2" i="21" a="1"/>
  <c r="E2" i="21" s="1"/>
  <c r="B2" i="21" a="1"/>
  <c r="B2" i="21" s="1"/>
  <c r="U21" i="20"/>
  <c r="W21" i="20" s="1"/>
  <c r="U19" i="20"/>
  <c r="R19" i="20"/>
  <c r="O19" i="20"/>
  <c r="L19" i="20"/>
  <c r="I19" i="20"/>
  <c r="F19" i="20"/>
  <c r="C19" i="20"/>
  <c r="U18" i="20"/>
  <c r="R18" i="20"/>
  <c r="O18" i="20"/>
  <c r="L18" i="20"/>
  <c r="I18" i="20"/>
  <c r="F18" i="20"/>
  <c r="C18" i="20"/>
  <c r="U17" i="20"/>
  <c r="R17" i="20"/>
  <c r="O17" i="20"/>
  <c r="L17" i="20"/>
  <c r="I17" i="20"/>
  <c r="F17" i="20"/>
  <c r="C17" i="20"/>
  <c r="U16" i="20"/>
  <c r="R16" i="20"/>
  <c r="O16" i="20"/>
  <c r="L16" i="20"/>
  <c r="I16" i="20"/>
  <c r="F16" i="20"/>
  <c r="C16" i="20"/>
  <c r="U15" i="20"/>
  <c r="R15" i="20"/>
  <c r="O15" i="20"/>
  <c r="L15" i="20"/>
  <c r="I15" i="20"/>
  <c r="F15" i="20"/>
  <c r="C15" i="20"/>
  <c r="U14" i="20"/>
  <c r="R14" i="20"/>
  <c r="O14" i="20"/>
  <c r="L14" i="20"/>
  <c r="I14" i="20"/>
  <c r="F14" i="20"/>
  <c r="C14" i="20"/>
  <c r="U13" i="20"/>
  <c r="R13" i="20"/>
  <c r="O13" i="20"/>
  <c r="L13" i="20"/>
  <c r="I13" i="20"/>
  <c r="F13" i="20"/>
  <c r="C13" i="20"/>
  <c r="U12" i="20"/>
  <c r="R12" i="20"/>
  <c r="O12" i="20"/>
  <c r="L12" i="20"/>
  <c r="I12" i="20"/>
  <c r="F12" i="20"/>
  <c r="C12" i="20"/>
  <c r="U11" i="20"/>
  <c r="R11" i="20"/>
  <c r="O11" i="20"/>
  <c r="L11" i="20"/>
  <c r="I11" i="20"/>
  <c r="F11" i="20"/>
  <c r="C11" i="20"/>
  <c r="U10" i="20"/>
  <c r="R10" i="20"/>
  <c r="O10" i="20"/>
  <c r="L10" i="20"/>
  <c r="I10" i="20"/>
  <c r="F10" i="20"/>
  <c r="C10" i="20"/>
  <c r="U9" i="20"/>
  <c r="R9" i="20"/>
  <c r="O9" i="20"/>
  <c r="L9" i="20"/>
  <c r="I9" i="20"/>
  <c r="F9" i="20"/>
  <c r="C9" i="20"/>
  <c r="U8" i="20"/>
  <c r="R8" i="20"/>
  <c r="O8" i="20"/>
  <c r="L8" i="20"/>
  <c r="I8" i="20"/>
  <c r="F8" i="20"/>
  <c r="C8" i="20"/>
  <c r="U7" i="20"/>
  <c r="R7" i="20"/>
  <c r="O7" i="20"/>
  <c r="L7" i="20"/>
  <c r="I7" i="20"/>
  <c r="F7" i="20"/>
  <c r="C7" i="20"/>
  <c r="U6" i="20"/>
  <c r="R6" i="20"/>
  <c r="O6" i="20"/>
  <c r="L6" i="20"/>
  <c r="I6" i="20"/>
  <c r="F6" i="20"/>
  <c r="C6" i="20"/>
  <c r="U5" i="20"/>
  <c r="R5" i="20"/>
  <c r="O5" i="20"/>
  <c r="L5" i="20"/>
  <c r="I5" i="20"/>
  <c r="F5" i="20"/>
  <c r="C5" i="20"/>
  <c r="U4" i="20"/>
  <c r="R4" i="20"/>
  <c r="O4" i="20"/>
  <c r="L4" i="20"/>
  <c r="I4" i="20"/>
  <c r="F4" i="20"/>
  <c r="C4" i="20"/>
  <c r="T2" i="20" a="1"/>
  <c r="T2" i="20" s="1"/>
  <c r="Q2" i="20" a="1"/>
  <c r="Q2" i="20" s="1"/>
  <c r="N2" i="20" a="1"/>
  <c r="N2" i="20" s="1"/>
  <c r="K2" i="20" a="1"/>
  <c r="K2" i="20" s="1"/>
  <c r="H2" i="20" a="1"/>
  <c r="H2" i="20" s="1"/>
  <c r="E2" i="20" a="1"/>
  <c r="E2" i="20" s="1"/>
  <c r="B2" i="20" a="1"/>
  <c r="B2" i="20" s="1"/>
  <c r="U21" i="19"/>
  <c r="W21" i="19" s="1"/>
  <c r="U19" i="19"/>
  <c r="R19" i="19"/>
  <c r="O19" i="19"/>
  <c r="L19" i="19"/>
  <c r="I19" i="19"/>
  <c r="F19" i="19"/>
  <c r="C19" i="19"/>
  <c r="U18" i="19"/>
  <c r="R18" i="19"/>
  <c r="O18" i="19"/>
  <c r="L18" i="19"/>
  <c r="I18" i="19"/>
  <c r="F18" i="19"/>
  <c r="C18" i="19"/>
  <c r="U17" i="19"/>
  <c r="R17" i="19"/>
  <c r="O17" i="19"/>
  <c r="L17" i="19"/>
  <c r="I17" i="19"/>
  <c r="F17" i="19"/>
  <c r="C17" i="19"/>
  <c r="U16" i="19"/>
  <c r="R16" i="19"/>
  <c r="O16" i="19"/>
  <c r="L16" i="19"/>
  <c r="I16" i="19"/>
  <c r="F16" i="19"/>
  <c r="C16" i="19"/>
  <c r="U15" i="19"/>
  <c r="R15" i="19"/>
  <c r="O15" i="19"/>
  <c r="L15" i="19"/>
  <c r="I15" i="19"/>
  <c r="F15" i="19"/>
  <c r="C15" i="19"/>
  <c r="U14" i="19"/>
  <c r="R14" i="19"/>
  <c r="O14" i="19"/>
  <c r="L14" i="19"/>
  <c r="I14" i="19"/>
  <c r="F14" i="19"/>
  <c r="C14" i="19"/>
  <c r="U13" i="19"/>
  <c r="R13" i="19"/>
  <c r="O13" i="19"/>
  <c r="L13" i="19"/>
  <c r="I13" i="19"/>
  <c r="F13" i="19"/>
  <c r="C13" i="19"/>
  <c r="U12" i="19"/>
  <c r="R12" i="19"/>
  <c r="O12" i="19"/>
  <c r="L12" i="19"/>
  <c r="I12" i="19"/>
  <c r="F12" i="19"/>
  <c r="C12" i="19"/>
  <c r="U11" i="19"/>
  <c r="R11" i="19"/>
  <c r="O11" i="19"/>
  <c r="L11" i="19"/>
  <c r="I11" i="19"/>
  <c r="F11" i="19"/>
  <c r="C11" i="19"/>
  <c r="U10" i="19"/>
  <c r="R10" i="19"/>
  <c r="O10" i="19"/>
  <c r="L10" i="19"/>
  <c r="I10" i="19"/>
  <c r="F10" i="19"/>
  <c r="C10" i="19"/>
  <c r="U9" i="19"/>
  <c r="R9" i="19"/>
  <c r="O9" i="19"/>
  <c r="L9" i="19"/>
  <c r="I9" i="19"/>
  <c r="F9" i="19"/>
  <c r="C9" i="19"/>
  <c r="U8" i="19"/>
  <c r="R8" i="19"/>
  <c r="O8" i="19"/>
  <c r="L8" i="19"/>
  <c r="I8" i="19"/>
  <c r="F8" i="19"/>
  <c r="C8" i="19"/>
  <c r="U7" i="19"/>
  <c r="R7" i="19"/>
  <c r="O7" i="19"/>
  <c r="L7" i="19"/>
  <c r="I7" i="19"/>
  <c r="F7" i="19"/>
  <c r="C7" i="19"/>
  <c r="U6" i="19"/>
  <c r="R6" i="19"/>
  <c r="O6" i="19"/>
  <c r="L6" i="19"/>
  <c r="I6" i="19"/>
  <c r="F6" i="19"/>
  <c r="C6" i="19"/>
  <c r="U5" i="19"/>
  <c r="R5" i="19"/>
  <c r="O5" i="19"/>
  <c r="L5" i="19"/>
  <c r="I5" i="19"/>
  <c r="F5" i="19"/>
  <c r="C5" i="19"/>
  <c r="U4" i="19"/>
  <c r="R4" i="19"/>
  <c r="O4" i="19"/>
  <c r="L4" i="19"/>
  <c r="I4" i="19"/>
  <c r="F4" i="19"/>
  <c r="C4" i="19"/>
  <c r="T2" i="19" a="1"/>
  <c r="T2" i="19" s="1"/>
  <c r="Q2" i="19" a="1"/>
  <c r="Q2" i="19" s="1"/>
  <c r="N2" i="19" a="1"/>
  <c r="N2" i="19" s="1"/>
  <c r="K2" i="19" a="1"/>
  <c r="K2" i="19" s="1"/>
  <c r="H2" i="19" a="1"/>
  <c r="H2" i="19" s="1"/>
  <c r="E2" i="19" a="1"/>
  <c r="E2" i="19" s="1"/>
  <c r="B2" i="19" a="1"/>
  <c r="B2" i="19" s="1"/>
  <c r="U21" i="18"/>
  <c r="W21" i="18" s="1"/>
  <c r="U19" i="18"/>
  <c r="R19" i="18"/>
  <c r="O19" i="18"/>
  <c r="L19" i="18"/>
  <c r="I19" i="18"/>
  <c r="F19" i="18"/>
  <c r="C19" i="18"/>
  <c r="U18" i="18"/>
  <c r="R18" i="18"/>
  <c r="O18" i="18"/>
  <c r="L18" i="18"/>
  <c r="I18" i="18"/>
  <c r="F18" i="18"/>
  <c r="C18" i="18"/>
  <c r="U17" i="18"/>
  <c r="R17" i="18"/>
  <c r="O17" i="18"/>
  <c r="L17" i="18"/>
  <c r="I17" i="18"/>
  <c r="F17" i="18"/>
  <c r="C17" i="18"/>
  <c r="U16" i="18"/>
  <c r="R16" i="18"/>
  <c r="O16" i="18"/>
  <c r="L16" i="18"/>
  <c r="I16" i="18"/>
  <c r="F16" i="18"/>
  <c r="C16" i="18"/>
  <c r="U15" i="18"/>
  <c r="R15" i="18"/>
  <c r="O15" i="18"/>
  <c r="L15" i="18"/>
  <c r="I15" i="18"/>
  <c r="F15" i="18"/>
  <c r="C15" i="18"/>
  <c r="U14" i="18"/>
  <c r="R14" i="18"/>
  <c r="O14" i="18"/>
  <c r="L14" i="18"/>
  <c r="I14" i="18"/>
  <c r="F14" i="18"/>
  <c r="C14" i="18"/>
  <c r="U13" i="18"/>
  <c r="R13" i="18"/>
  <c r="O13" i="18"/>
  <c r="L13" i="18"/>
  <c r="I13" i="18"/>
  <c r="F13" i="18"/>
  <c r="C13" i="18"/>
  <c r="U12" i="18"/>
  <c r="R12" i="18"/>
  <c r="O12" i="18"/>
  <c r="L12" i="18"/>
  <c r="I12" i="18"/>
  <c r="F12" i="18"/>
  <c r="C12" i="18"/>
  <c r="U11" i="18"/>
  <c r="R11" i="18"/>
  <c r="O11" i="18"/>
  <c r="L11" i="18"/>
  <c r="I11" i="18"/>
  <c r="F11" i="18"/>
  <c r="C11" i="18"/>
  <c r="U10" i="18"/>
  <c r="R10" i="18"/>
  <c r="O10" i="18"/>
  <c r="L10" i="18"/>
  <c r="I10" i="18"/>
  <c r="F10" i="18"/>
  <c r="C10" i="18"/>
  <c r="U9" i="18"/>
  <c r="R9" i="18"/>
  <c r="O9" i="18"/>
  <c r="L9" i="18"/>
  <c r="I9" i="18"/>
  <c r="F9" i="18"/>
  <c r="C9" i="18"/>
  <c r="U8" i="18"/>
  <c r="R8" i="18"/>
  <c r="O8" i="18"/>
  <c r="L8" i="18"/>
  <c r="I8" i="18"/>
  <c r="F8" i="18"/>
  <c r="C8" i="18"/>
  <c r="U7" i="18"/>
  <c r="R7" i="18"/>
  <c r="O7" i="18"/>
  <c r="L7" i="18"/>
  <c r="I7" i="18"/>
  <c r="F7" i="18"/>
  <c r="C7" i="18"/>
  <c r="U6" i="18"/>
  <c r="R6" i="18"/>
  <c r="O6" i="18"/>
  <c r="L6" i="18"/>
  <c r="I6" i="18"/>
  <c r="F6" i="18"/>
  <c r="C6" i="18"/>
  <c r="U5" i="18"/>
  <c r="R5" i="18"/>
  <c r="O5" i="18"/>
  <c r="L5" i="18"/>
  <c r="I5" i="18"/>
  <c r="F5" i="18"/>
  <c r="C5" i="18"/>
  <c r="U4" i="18"/>
  <c r="R4" i="18"/>
  <c r="O4" i="18"/>
  <c r="L4" i="18"/>
  <c r="I4" i="18"/>
  <c r="F4" i="18"/>
  <c r="C4" i="18"/>
  <c r="T2" i="18" a="1"/>
  <c r="T2" i="18" s="1"/>
  <c r="Q2" i="18" a="1"/>
  <c r="Q2" i="18" s="1"/>
  <c r="N2" i="18" a="1"/>
  <c r="N2" i="18" s="1"/>
  <c r="K2" i="18" a="1"/>
  <c r="K2" i="18" s="1"/>
  <c r="H2" i="18" a="1"/>
  <c r="H2" i="18" s="1"/>
  <c r="E2" i="18" a="1"/>
  <c r="E2" i="18" s="1"/>
  <c r="B2" i="18" a="1"/>
  <c r="B2" i="18" s="1"/>
  <c r="U21" i="17"/>
  <c r="W21" i="17" s="1"/>
  <c r="U19" i="17"/>
  <c r="R19" i="17"/>
  <c r="O19" i="17"/>
  <c r="L19" i="17"/>
  <c r="I19" i="17"/>
  <c r="F19" i="17"/>
  <c r="C19" i="17"/>
  <c r="U18" i="17"/>
  <c r="R18" i="17"/>
  <c r="O18" i="17"/>
  <c r="L18" i="17"/>
  <c r="I18" i="17"/>
  <c r="F18" i="17"/>
  <c r="C18" i="17"/>
  <c r="U17" i="17"/>
  <c r="R17" i="17"/>
  <c r="O17" i="17"/>
  <c r="L17" i="17"/>
  <c r="I17" i="17"/>
  <c r="F17" i="17"/>
  <c r="C17" i="17"/>
  <c r="U16" i="17"/>
  <c r="R16" i="17"/>
  <c r="O16" i="17"/>
  <c r="L16" i="17"/>
  <c r="I16" i="17"/>
  <c r="F16" i="17"/>
  <c r="C16" i="17"/>
  <c r="U15" i="17"/>
  <c r="R15" i="17"/>
  <c r="O15" i="17"/>
  <c r="L15" i="17"/>
  <c r="I15" i="17"/>
  <c r="F15" i="17"/>
  <c r="C15" i="17"/>
  <c r="U14" i="17"/>
  <c r="R14" i="17"/>
  <c r="O14" i="17"/>
  <c r="L14" i="17"/>
  <c r="I14" i="17"/>
  <c r="F14" i="17"/>
  <c r="C14" i="17"/>
  <c r="U13" i="17"/>
  <c r="R13" i="17"/>
  <c r="O13" i="17"/>
  <c r="L13" i="17"/>
  <c r="I13" i="17"/>
  <c r="F13" i="17"/>
  <c r="C13" i="17"/>
  <c r="U12" i="17"/>
  <c r="R12" i="17"/>
  <c r="O12" i="17"/>
  <c r="L12" i="17"/>
  <c r="I12" i="17"/>
  <c r="F12" i="17"/>
  <c r="C12" i="17"/>
  <c r="U11" i="17"/>
  <c r="R11" i="17"/>
  <c r="O11" i="17"/>
  <c r="L11" i="17"/>
  <c r="I11" i="17"/>
  <c r="F11" i="17"/>
  <c r="C11" i="17"/>
  <c r="U10" i="17"/>
  <c r="R10" i="17"/>
  <c r="O10" i="17"/>
  <c r="L10" i="17"/>
  <c r="I10" i="17"/>
  <c r="F10" i="17"/>
  <c r="C10" i="17"/>
  <c r="U9" i="17"/>
  <c r="R9" i="17"/>
  <c r="O9" i="17"/>
  <c r="L9" i="17"/>
  <c r="I9" i="17"/>
  <c r="F9" i="17"/>
  <c r="C9" i="17"/>
  <c r="U8" i="17"/>
  <c r="R8" i="17"/>
  <c r="O8" i="17"/>
  <c r="L8" i="17"/>
  <c r="I8" i="17"/>
  <c r="F8" i="17"/>
  <c r="C8" i="17"/>
  <c r="U7" i="17"/>
  <c r="R7" i="17"/>
  <c r="O7" i="17"/>
  <c r="L7" i="17"/>
  <c r="I7" i="17"/>
  <c r="F7" i="17"/>
  <c r="C7" i="17"/>
  <c r="U6" i="17"/>
  <c r="R6" i="17"/>
  <c r="O6" i="17"/>
  <c r="L6" i="17"/>
  <c r="I6" i="17"/>
  <c r="F6" i="17"/>
  <c r="C6" i="17"/>
  <c r="U5" i="17"/>
  <c r="R5" i="17"/>
  <c r="O5" i="17"/>
  <c r="L5" i="17"/>
  <c r="I5" i="17"/>
  <c r="F5" i="17"/>
  <c r="C5" i="17"/>
  <c r="U4" i="17"/>
  <c r="R4" i="17"/>
  <c r="O4" i="17"/>
  <c r="L4" i="17"/>
  <c r="I4" i="17"/>
  <c r="F4" i="17"/>
  <c r="C4" i="17"/>
  <c r="T2" i="17" a="1"/>
  <c r="T2" i="17" s="1"/>
  <c r="Q2" i="17" a="1"/>
  <c r="Q2" i="17" s="1"/>
  <c r="N2" i="17" a="1"/>
  <c r="N2" i="17" s="1"/>
  <c r="K2" i="17" a="1"/>
  <c r="K2" i="17" s="1"/>
  <c r="H2" i="17" a="1"/>
  <c r="H2" i="17" s="1"/>
  <c r="E2" i="17" a="1"/>
  <c r="E2" i="17" s="1"/>
  <c r="B2" i="17" a="1"/>
  <c r="B2" i="17" s="1"/>
  <c r="U21" i="15"/>
  <c r="W21" i="15" s="1"/>
  <c r="U19" i="15"/>
  <c r="R19" i="15"/>
  <c r="O19" i="15"/>
  <c r="L19" i="15"/>
  <c r="I19" i="15"/>
  <c r="F19" i="15"/>
  <c r="C19" i="15"/>
  <c r="U18" i="15"/>
  <c r="R18" i="15"/>
  <c r="O18" i="15"/>
  <c r="L18" i="15"/>
  <c r="I18" i="15"/>
  <c r="F18" i="15"/>
  <c r="C18" i="15"/>
  <c r="U17" i="15"/>
  <c r="R17" i="15"/>
  <c r="O17" i="15"/>
  <c r="L17" i="15"/>
  <c r="I17" i="15"/>
  <c r="F17" i="15"/>
  <c r="C17" i="15"/>
  <c r="U16" i="15"/>
  <c r="R16" i="15"/>
  <c r="O16" i="15"/>
  <c r="L16" i="15"/>
  <c r="I16" i="15"/>
  <c r="F16" i="15"/>
  <c r="C16" i="15"/>
  <c r="U15" i="15"/>
  <c r="R15" i="15"/>
  <c r="O15" i="15"/>
  <c r="L15" i="15"/>
  <c r="I15" i="15"/>
  <c r="F15" i="15"/>
  <c r="C15" i="15"/>
  <c r="U14" i="15"/>
  <c r="R14" i="15"/>
  <c r="O14" i="15"/>
  <c r="L14" i="15"/>
  <c r="I14" i="15"/>
  <c r="F14" i="15"/>
  <c r="C14" i="15"/>
  <c r="U13" i="15"/>
  <c r="R13" i="15"/>
  <c r="O13" i="15"/>
  <c r="L13" i="15"/>
  <c r="I13" i="15"/>
  <c r="F13" i="15"/>
  <c r="C13" i="15"/>
  <c r="U12" i="15"/>
  <c r="R12" i="15"/>
  <c r="O12" i="15"/>
  <c r="L12" i="15"/>
  <c r="I12" i="15"/>
  <c r="F12" i="15"/>
  <c r="C12" i="15"/>
  <c r="U11" i="15"/>
  <c r="R11" i="15"/>
  <c r="O11" i="15"/>
  <c r="L11" i="15"/>
  <c r="I11" i="15"/>
  <c r="F11" i="15"/>
  <c r="C11" i="15"/>
  <c r="U10" i="15"/>
  <c r="R10" i="15"/>
  <c r="O10" i="15"/>
  <c r="L10" i="15"/>
  <c r="I10" i="15"/>
  <c r="F10" i="15"/>
  <c r="C10" i="15"/>
  <c r="U9" i="15"/>
  <c r="R9" i="15"/>
  <c r="O9" i="15"/>
  <c r="L9" i="15"/>
  <c r="I9" i="15"/>
  <c r="F9" i="15"/>
  <c r="C9" i="15"/>
  <c r="U8" i="15"/>
  <c r="R8" i="15"/>
  <c r="O8" i="15"/>
  <c r="L8" i="15"/>
  <c r="I8" i="15"/>
  <c r="F8" i="15"/>
  <c r="C8" i="15"/>
  <c r="U7" i="15"/>
  <c r="R7" i="15"/>
  <c r="O7" i="15"/>
  <c r="L7" i="15"/>
  <c r="I7" i="15"/>
  <c r="F7" i="15"/>
  <c r="C7" i="15"/>
  <c r="U6" i="15"/>
  <c r="R6" i="15"/>
  <c r="O6" i="15"/>
  <c r="L6" i="15"/>
  <c r="I6" i="15"/>
  <c r="F6" i="15"/>
  <c r="C6" i="15"/>
  <c r="U5" i="15"/>
  <c r="R5" i="15"/>
  <c r="O5" i="15"/>
  <c r="L5" i="15"/>
  <c r="I5" i="15"/>
  <c r="F5" i="15"/>
  <c r="C5" i="15"/>
  <c r="U4" i="15"/>
  <c r="R4" i="15"/>
  <c r="O4" i="15"/>
  <c r="L4" i="15"/>
  <c r="I4" i="15"/>
  <c r="F4" i="15"/>
  <c r="C4" i="15"/>
  <c r="T2" i="15" a="1"/>
  <c r="T2" i="15" s="1"/>
  <c r="Q2" i="15" a="1"/>
  <c r="Q2" i="15" s="1"/>
  <c r="N2" i="15" a="1"/>
  <c r="N2" i="15" s="1"/>
  <c r="K2" i="15" a="1"/>
  <c r="K2" i="15" s="1"/>
  <c r="H2" i="15" a="1"/>
  <c r="H2" i="15" s="1"/>
  <c r="E2" i="15" a="1"/>
  <c r="E2" i="15" s="1"/>
  <c r="B2" i="15" a="1"/>
  <c r="B2" i="15" s="1"/>
  <c r="C22" i="25" a="1"/>
  <c r="O22" i="25" a="1"/>
  <c r="O22" i="22" a="1"/>
  <c r="F22" i="18" a="1"/>
  <c r="I22" i="22" a="1"/>
  <c r="R22" i="15" a="1"/>
  <c r="L22" i="15" a="1"/>
  <c r="L22" i="22" a="1"/>
  <c r="U22" i="18" a="1"/>
  <c r="U22" i="19" a="1"/>
  <c r="I22" i="19" a="1"/>
  <c r="U22" i="23" a="1"/>
  <c r="O22" i="17" a="1"/>
  <c r="O22" i="19" a="1"/>
  <c r="L22" i="19" a="1"/>
  <c r="R22" i="17" a="1"/>
  <c r="I22" i="18" a="1"/>
  <c r="O22" i="23" a="1"/>
  <c r="U22" i="20" a="1"/>
  <c r="F22" i="25" a="1"/>
  <c r="C22" i="24" a="1"/>
  <c r="F22" i="24" a="1"/>
  <c r="O22" i="24" a="1"/>
  <c r="L22" i="21" a="1"/>
  <c r="L22" i="17" a="1"/>
  <c r="U22" i="24" a="1"/>
  <c r="U22" i="15" a="1"/>
  <c r="C22" i="23" a="1"/>
  <c r="L22" i="25" a="1"/>
  <c r="C22" i="20" a="1"/>
  <c r="U22" i="17" a="1"/>
  <c r="O22" i="18" a="1"/>
  <c r="C22" i="17" a="1"/>
  <c r="I22" i="20" a="1"/>
  <c r="I22" i="24" a="1"/>
  <c r="C22" i="21" a="1"/>
  <c r="O22" i="21" a="1"/>
  <c r="O22" i="20" a="1"/>
  <c r="L22" i="20" a="1"/>
  <c r="I22" i="17" a="1"/>
  <c r="U22" i="25" a="1"/>
  <c r="R22" i="22" a="1"/>
  <c r="F22" i="21" a="1"/>
  <c r="C22" i="22" a="1"/>
  <c r="U22" i="22" a="1"/>
  <c r="I22" i="21" a="1"/>
  <c r="U22" i="21" a="1"/>
  <c r="I22" i="25" a="1"/>
  <c r="O22" i="15" a="1"/>
  <c r="F22" i="22" a="1"/>
  <c r="L22" i="23" a="1"/>
  <c r="I22" i="15" a="1"/>
  <c r="R22" i="21" a="1"/>
  <c r="C22" i="19" a="1"/>
  <c r="I22" i="23" a="1"/>
  <c r="F22" i="23" a="1"/>
  <c r="F22" i="20" a="1"/>
  <c r="R22" i="18" a="1"/>
  <c r="C22" i="18" a="1"/>
  <c r="R22" i="25" a="1"/>
  <c r="R22" i="20" a="1"/>
  <c r="R22" i="23" a="1"/>
  <c r="L22" i="24" a="1"/>
  <c r="R22" i="19" a="1"/>
  <c r="F22" i="17" a="1"/>
  <c r="F22" i="19" a="1"/>
  <c r="R22" i="24" a="1"/>
  <c r="C22" i="15" a="1"/>
  <c r="L22" i="18" a="1"/>
  <c r="F22" i="15" a="1"/>
  <c r="F22" i="25" l="1"/>
  <c r="C22" i="25"/>
  <c r="L22" i="25"/>
  <c r="O22" i="25"/>
  <c r="R22" i="25"/>
  <c r="U22" i="25"/>
  <c r="I22" i="25"/>
  <c r="L22" i="24"/>
  <c r="O22" i="24"/>
  <c r="R22" i="24"/>
  <c r="U22" i="24"/>
  <c r="C22" i="24"/>
  <c r="F22" i="24"/>
  <c r="I22" i="24"/>
  <c r="L22" i="23"/>
  <c r="O22" i="23"/>
  <c r="R22" i="23"/>
  <c r="C22" i="23"/>
  <c r="U22" i="23"/>
  <c r="F22" i="23"/>
  <c r="I22" i="23"/>
  <c r="L22" i="22"/>
  <c r="O22" i="22"/>
  <c r="R22" i="22"/>
  <c r="C22" i="22"/>
  <c r="U22" i="22"/>
  <c r="F22" i="22"/>
  <c r="I22" i="22"/>
  <c r="L22" i="21"/>
  <c r="O22" i="21"/>
  <c r="R22" i="21"/>
  <c r="C22" i="21"/>
  <c r="U22" i="21"/>
  <c r="F22" i="21"/>
  <c r="I22" i="21"/>
  <c r="L22" i="20"/>
  <c r="O22" i="20"/>
  <c r="R22" i="20"/>
  <c r="C22" i="20"/>
  <c r="U22" i="20"/>
  <c r="F22" i="20"/>
  <c r="I22" i="20"/>
  <c r="L22" i="19"/>
  <c r="O22" i="19"/>
  <c r="R22" i="19"/>
  <c r="C22" i="19"/>
  <c r="U22" i="19"/>
  <c r="F22" i="19"/>
  <c r="I22" i="19"/>
  <c r="L22" i="18"/>
  <c r="O22" i="18"/>
  <c r="R22" i="18"/>
  <c r="C22" i="18"/>
  <c r="U22" i="18"/>
  <c r="F22" i="18"/>
  <c r="I22" i="18"/>
  <c r="L22" i="17"/>
  <c r="O22" i="17"/>
  <c r="R22" i="17"/>
  <c r="C22" i="17"/>
  <c r="U22" i="17"/>
  <c r="F22" i="17"/>
  <c r="I22" i="17"/>
  <c r="L22" i="15"/>
  <c r="O22" i="15"/>
  <c r="R22" i="15"/>
  <c r="U22" i="15"/>
  <c r="F22" i="15"/>
  <c r="C22" i="15"/>
  <c r="I22" i="15"/>
  <c r="W22" i="25" l="1"/>
  <c r="W23" i="25" s="1"/>
  <c r="W25" i="25" s="1"/>
  <c r="W22" i="24"/>
  <c r="W23" i="24" s="1"/>
  <c r="W25" i="24" s="1"/>
  <c r="W22" i="23"/>
  <c r="W23" i="23" s="1"/>
  <c r="W25" i="23" s="1"/>
  <c r="W22" i="22"/>
  <c r="W23" i="22" s="1"/>
  <c r="W25" i="22" s="1"/>
  <c r="W22" i="21"/>
  <c r="W22" i="20"/>
  <c r="W23" i="20" s="1"/>
  <c r="W25" i="20" s="1"/>
  <c r="W22" i="19"/>
  <c r="W23" i="19" s="1"/>
  <c r="W25" i="19" s="1"/>
  <c r="W22" i="18"/>
  <c r="W23" i="18" s="1"/>
  <c r="W25" i="18" s="1"/>
  <c r="W22" i="17"/>
  <c r="W23" i="17" s="1"/>
  <c r="W25" i="17" s="1"/>
  <c r="W22" i="15"/>
  <c r="W23" i="15" s="1"/>
  <c r="W25" i="15" s="1"/>
  <c r="W23" i="21" l="1"/>
  <c r="W25" i="21" s="1"/>
  <c r="W21" i="7"/>
  <c r="U21" i="7"/>
  <c r="U19" i="7"/>
  <c r="R19" i="7"/>
  <c r="O19" i="7"/>
  <c r="L19" i="7"/>
  <c r="I19" i="7"/>
  <c r="F19" i="7"/>
  <c r="C19" i="7"/>
  <c r="U18" i="7"/>
  <c r="R18" i="7"/>
  <c r="O18" i="7"/>
  <c r="L18" i="7"/>
  <c r="I18" i="7"/>
  <c r="F18" i="7"/>
  <c r="C18" i="7"/>
  <c r="U17" i="7"/>
  <c r="R17" i="7"/>
  <c r="O17" i="7"/>
  <c r="L17" i="7"/>
  <c r="I17" i="7"/>
  <c r="F17" i="7"/>
  <c r="C17" i="7"/>
  <c r="U16" i="7"/>
  <c r="R16" i="7"/>
  <c r="O16" i="7"/>
  <c r="L16" i="7"/>
  <c r="I16" i="7"/>
  <c r="F16" i="7"/>
  <c r="C16" i="7"/>
  <c r="U15" i="7"/>
  <c r="R15" i="7"/>
  <c r="O15" i="7"/>
  <c r="L15" i="7"/>
  <c r="I15" i="7"/>
  <c r="F15" i="7"/>
  <c r="C15" i="7"/>
  <c r="U14" i="7"/>
  <c r="R14" i="7"/>
  <c r="O14" i="7"/>
  <c r="L14" i="7"/>
  <c r="I14" i="7"/>
  <c r="F14" i="7"/>
  <c r="C14" i="7"/>
  <c r="U13" i="7"/>
  <c r="R13" i="7"/>
  <c r="O13" i="7"/>
  <c r="L13" i="7"/>
  <c r="I13" i="7"/>
  <c r="F13" i="7"/>
  <c r="C13" i="7"/>
  <c r="U12" i="7"/>
  <c r="R12" i="7"/>
  <c r="O12" i="7"/>
  <c r="L12" i="7"/>
  <c r="I12" i="7"/>
  <c r="F12" i="7"/>
  <c r="C12" i="7"/>
  <c r="U11" i="7"/>
  <c r="R11" i="7"/>
  <c r="O11" i="7"/>
  <c r="L11" i="7"/>
  <c r="I11" i="7"/>
  <c r="F11" i="7"/>
  <c r="C11" i="7"/>
  <c r="U10" i="7"/>
  <c r="R10" i="7"/>
  <c r="O10" i="7"/>
  <c r="L10" i="7"/>
  <c r="I10" i="7"/>
  <c r="F10" i="7"/>
  <c r="C10" i="7"/>
  <c r="U9" i="7"/>
  <c r="R9" i="7"/>
  <c r="O9" i="7"/>
  <c r="L9" i="7"/>
  <c r="I9" i="7"/>
  <c r="F9" i="7"/>
  <c r="C9" i="7"/>
  <c r="U8" i="7"/>
  <c r="R8" i="7"/>
  <c r="O8" i="7"/>
  <c r="L8" i="7"/>
  <c r="I8" i="7"/>
  <c r="F8" i="7"/>
  <c r="C8" i="7"/>
  <c r="U7" i="7"/>
  <c r="R7" i="7"/>
  <c r="O7" i="7"/>
  <c r="L7" i="7"/>
  <c r="I7" i="7"/>
  <c r="F7" i="7"/>
  <c r="C7" i="7"/>
  <c r="U6" i="7"/>
  <c r="R6" i="7"/>
  <c r="O6" i="7"/>
  <c r="L6" i="7"/>
  <c r="I6" i="7"/>
  <c r="F6" i="7"/>
  <c r="C6" i="7"/>
  <c r="U5" i="7"/>
  <c r="R5" i="7"/>
  <c r="O5" i="7"/>
  <c r="L5" i="7"/>
  <c r="I5" i="7"/>
  <c r="F5" i="7"/>
  <c r="C5" i="7"/>
  <c r="U4" i="7"/>
  <c r="R4" i="7"/>
  <c r="O4" i="7"/>
  <c r="L4" i="7"/>
  <c r="I4" i="7"/>
  <c r="F4" i="7"/>
  <c r="C4" i="7"/>
  <c r="T2" i="7" a="1"/>
  <c r="T2" i="7" s="1"/>
  <c r="Q2" i="7" a="1"/>
  <c r="Q2" i="7" s="1"/>
  <c r="N2" i="7" a="1"/>
  <c r="N2" i="7" s="1"/>
  <c r="K2" i="7" a="1"/>
  <c r="K2" i="7" s="1"/>
  <c r="H2" i="7" a="1"/>
  <c r="H2" i="7" s="1"/>
  <c r="E2" i="7" a="1"/>
  <c r="E2" i="7" s="1"/>
  <c r="B2" i="7" a="1"/>
  <c r="B2" i="7" s="1"/>
  <c r="O22" i="7" a="1"/>
  <c r="L22" i="7" a="1"/>
  <c r="C22" i="7" a="1"/>
  <c r="U22" i="7" a="1"/>
  <c r="R22" i="7" a="1"/>
  <c r="A3" i="12" a="1"/>
  <c r="I22" i="7" a="1"/>
  <c r="F22" i="7" a="1"/>
  <c r="C2" i="12" l="1"/>
  <c r="B2" i="12"/>
  <c r="A3" i="12"/>
  <c r="U22" i="7"/>
  <c r="R22" i="7"/>
  <c r="O22" i="7"/>
  <c r="L22" i="7"/>
  <c r="I22" i="7"/>
  <c r="F22" i="7"/>
  <c r="C22" i="7"/>
  <c r="W22" i="7" l="1"/>
  <c r="W23" i="7" s="1"/>
  <c r="W25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<sst xmlns="http://schemas.openxmlformats.org/spreadsheetml/2006/main" count="1142" uniqueCount="466">
  <si>
    <t>Zeit</t>
  </si>
  <si>
    <t>Dauer</t>
  </si>
  <si>
    <t>Tätigkeit</t>
  </si>
  <si>
    <t>Pause</t>
  </si>
  <si>
    <t>Planung M25-Stellen</t>
  </si>
  <si>
    <t>Soll</t>
  </si>
  <si>
    <t>Seelsorge</t>
  </si>
  <si>
    <t>Tätigkeiten</t>
  </si>
  <si>
    <t>Übergemeindliche Aufgaben</t>
  </si>
  <si>
    <t>Mitarbeitergespräch</t>
  </si>
  <si>
    <t>Fahrt</t>
  </si>
  <si>
    <t>Mo</t>
  </si>
  <si>
    <t>16.10.</t>
  </si>
  <si>
    <t>Di</t>
  </si>
  <si>
    <t>17.10.</t>
  </si>
  <si>
    <t>Mi</t>
  </si>
  <si>
    <t>18.10.</t>
  </si>
  <si>
    <t>Do</t>
  </si>
  <si>
    <t>19.10.</t>
  </si>
  <si>
    <t>Fr</t>
  </si>
  <si>
    <t>20.10.</t>
  </si>
  <si>
    <t>Sa</t>
  </si>
  <si>
    <t>21.10.</t>
  </si>
  <si>
    <t>So</t>
  </si>
  <si>
    <t>22.10.</t>
  </si>
  <si>
    <t>Gesamt</t>
  </si>
  <si>
    <t>Haben</t>
  </si>
  <si>
    <t>KW</t>
  </si>
  <si>
    <t>02.01.</t>
  </si>
  <si>
    <t>03.01.</t>
  </si>
  <si>
    <t>04.01.</t>
  </si>
  <si>
    <t>05.01.</t>
  </si>
  <si>
    <t>06.01.</t>
  </si>
  <si>
    <t>07.01.</t>
  </si>
  <si>
    <t>08.01.</t>
  </si>
  <si>
    <t>09.01.</t>
  </si>
  <si>
    <t>10.01.</t>
  </si>
  <si>
    <t>11.01.</t>
  </si>
  <si>
    <t>12.01.</t>
  </si>
  <si>
    <t>13.01.</t>
  </si>
  <si>
    <t>14.01.</t>
  </si>
  <si>
    <t>15.01.</t>
  </si>
  <si>
    <t>16.01.</t>
  </si>
  <si>
    <t>17.01.</t>
  </si>
  <si>
    <t>18.01.</t>
  </si>
  <si>
    <t>19.01.</t>
  </si>
  <si>
    <t>20.01.</t>
  </si>
  <si>
    <t>21.01.</t>
  </si>
  <si>
    <t>22.01.</t>
  </si>
  <si>
    <t>23.01.</t>
  </si>
  <si>
    <t>24.01.</t>
  </si>
  <si>
    <t>25.01.</t>
  </si>
  <si>
    <t>26.01.</t>
  </si>
  <si>
    <t>27.01.</t>
  </si>
  <si>
    <t>28.01.</t>
  </si>
  <si>
    <t>29.01.</t>
  </si>
  <si>
    <t>30.01.</t>
  </si>
  <si>
    <t>31.01.</t>
  </si>
  <si>
    <t>01.02.</t>
  </si>
  <si>
    <t>02.02.</t>
  </si>
  <si>
    <t>03.02.</t>
  </si>
  <si>
    <t>04.02.</t>
  </si>
  <si>
    <t>05.02.</t>
  </si>
  <si>
    <t>06.02.</t>
  </si>
  <si>
    <t>07.02.</t>
  </si>
  <si>
    <t>08.02.</t>
  </si>
  <si>
    <t>09.02.</t>
  </si>
  <si>
    <t>10.02.</t>
  </si>
  <si>
    <t>11.02.</t>
  </si>
  <si>
    <t>12.02.</t>
  </si>
  <si>
    <t>13.02.</t>
  </si>
  <si>
    <t>14.02.</t>
  </si>
  <si>
    <t>15.02.</t>
  </si>
  <si>
    <t>16.02.</t>
  </si>
  <si>
    <t>17.02.</t>
  </si>
  <si>
    <t>18.02.</t>
  </si>
  <si>
    <t>19.02.</t>
  </si>
  <si>
    <t>20.02.</t>
  </si>
  <si>
    <t>21.02.</t>
  </si>
  <si>
    <t>22.02.</t>
  </si>
  <si>
    <t>23.02.</t>
  </si>
  <si>
    <t>24.02.</t>
  </si>
  <si>
    <t>25.02.</t>
  </si>
  <si>
    <t>26.02.</t>
  </si>
  <si>
    <t>27.02.</t>
  </si>
  <si>
    <t>28.02.</t>
  </si>
  <si>
    <t>01.03.</t>
  </si>
  <si>
    <t>02.03.</t>
  </si>
  <si>
    <t>03.03.</t>
  </si>
  <si>
    <t>04.03.</t>
  </si>
  <si>
    <t>05.03.</t>
  </si>
  <si>
    <t>06.03.</t>
  </si>
  <si>
    <t>07.03.</t>
  </si>
  <si>
    <t>08.03.</t>
  </si>
  <si>
    <t>09.03.</t>
  </si>
  <si>
    <t>10.03.</t>
  </si>
  <si>
    <t>11.03.</t>
  </si>
  <si>
    <t>12.03.</t>
  </si>
  <si>
    <t>13.03.</t>
  </si>
  <si>
    <t>14.03.</t>
  </si>
  <si>
    <t>15.03.</t>
  </si>
  <si>
    <t>16.03.</t>
  </si>
  <si>
    <t>17.03.</t>
  </si>
  <si>
    <t>18.03.</t>
  </si>
  <si>
    <t>19.03.</t>
  </si>
  <si>
    <t>20.03.</t>
  </si>
  <si>
    <t>21.03.</t>
  </si>
  <si>
    <t>22.03.</t>
  </si>
  <si>
    <t>23.03.</t>
  </si>
  <si>
    <t>24.03.</t>
  </si>
  <si>
    <t>25.03.</t>
  </si>
  <si>
    <t>26.03.</t>
  </si>
  <si>
    <t>27.03.</t>
  </si>
  <si>
    <t>28.03.</t>
  </si>
  <si>
    <t>29.03.</t>
  </si>
  <si>
    <t>30.03.</t>
  </si>
  <si>
    <t>31.03.</t>
  </si>
  <si>
    <t>01.04.</t>
  </si>
  <si>
    <t>02.04.</t>
  </si>
  <si>
    <t>03.04.</t>
  </si>
  <si>
    <t>04.04.</t>
  </si>
  <si>
    <t>05.04.</t>
  </si>
  <si>
    <t>06.04.</t>
  </si>
  <si>
    <t>07.04.</t>
  </si>
  <si>
    <t>08.04.</t>
  </si>
  <si>
    <t>09.04.</t>
  </si>
  <si>
    <t>10.04.</t>
  </si>
  <si>
    <t>11.04.</t>
  </si>
  <si>
    <t>12.04.</t>
  </si>
  <si>
    <t>13.04.</t>
  </si>
  <si>
    <t>14.04.</t>
  </si>
  <si>
    <t>15.04.</t>
  </si>
  <si>
    <t>16.04.</t>
  </si>
  <si>
    <t>17.04.</t>
  </si>
  <si>
    <t>18.04.</t>
  </si>
  <si>
    <t>19.04.</t>
  </si>
  <si>
    <t>20.04.</t>
  </si>
  <si>
    <t>21.04.</t>
  </si>
  <si>
    <t>22.04.</t>
  </si>
  <si>
    <t>23.04.</t>
  </si>
  <si>
    <t>24.04.</t>
  </si>
  <si>
    <t>25.04.</t>
  </si>
  <si>
    <t>26.04.</t>
  </si>
  <si>
    <t>27.04.</t>
  </si>
  <si>
    <t>28.04.</t>
  </si>
  <si>
    <t>29.04.</t>
  </si>
  <si>
    <t>30.04.</t>
  </si>
  <si>
    <t>01.05.</t>
  </si>
  <si>
    <t>02.05.</t>
  </si>
  <si>
    <t>03.05.</t>
  </si>
  <si>
    <t>04.05.</t>
  </si>
  <si>
    <t>05.05.</t>
  </si>
  <si>
    <t>06.05.</t>
  </si>
  <si>
    <t>07.05.</t>
  </si>
  <si>
    <t>08.05.</t>
  </si>
  <si>
    <t>09.05.</t>
  </si>
  <si>
    <t>10.05.</t>
  </si>
  <si>
    <t>11.05.</t>
  </si>
  <si>
    <t>12.05.</t>
  </si>
  <si>
    <t>13.05.</t>
  </si>
  <si>
    <t>14.05.</t>
  </si>
  <si>
    <t>15.05.</t>
  </si>
  <si>
    <t>16.05.</t>
  </si>
  <si>
    <t>17.05.</t>
  </si>
  <si>
    <t>18.05.</t>
  </si>
  <si>
    <t>19.05.</t>
  </si>
  <si>
    <t>20.05.</t>
  </si>
  <si>
    <t>21.05.</t>
  </si>
  <si>
    <t>22.05.</t>
  </si>
  <si>
    <t>23.05.</t>
  </si>
  <si>
    <t>24.05.</t>
  </si>
  <si>
    <t>25.05.</t>
  </si>
  <si>
    <t>26.05.</t>
  </si>
  <si>
    <t>27.05.</t>
  </si>
  <si>
    <t>28.05.</t>
  </si>
  <si>
    <t>29.05.</t>
  </si>
  <si>
    <t>30.05.</t>
  </si>
  <si>
    <t>31.05.</t>
  </si>
  <si>
    <t>01.06.</t>
  </si>
  <si>
    <t>02.06.</t>
  </si>
  <si>
    <t>03.06.</t>
  </si>
  <si>
    <t>04.06.</t>
  </si>
  <si>
    <t>05.06.</t>
  </si>
  <si>
    <t>06.06.</t>
  </si>
  <si>
    <t>07.06.</t>
  </si>
  <si>
    <t>08.06.</t>
  </si>
  <si>
    <t>09.06.</t>
  </si>
  <si>
    <t>10.06.</t>
  </si>
  <si>
    <t>11.06.</t>
  </si>
  <si>
    <t>12.06.</t>
  </si>
  <si>
    <t>13.06.</t>
  </si>
  <si>
    <t>14.06.</t>
  </si>
  <si>
    <t>15.06.</t>
  </si>
  <si>
    <t>16.06.</t>
  </si>
  <si>
    <t>17.06.</t>
  </si>
  <si>
    <t>18.06.</t>
  </si>
  <si>
    <t>19.06.</t>
  </si>
  <si>
    <t>20.06.</t>
  </si>
  <si>
    <t>21.06.</t>
  </si>
  <si>
    <t>22.06.</t>
  </si>
  <si>
    <t>23.06.</t>
  </si>
  <si>
    <t>24.06.</t>
  </si>
  <si>
    <t>25.06.</t>
  </si>
  <si>
    <t>26.06.</t>
  </si>
  <si>
    <t>27.06.</t>
  </si>
  <si>
    <t>28.06.</t>
  </si>
  <si>
    <t>29.06.</t>
  </si>
  <si>
    <t>30.06.</t>
  </si>
  <si>
    <t>01.07.</t>
  </si>
  <si>
    <t>02.07.</t>
  </si>
  <si>
    <t>03.07.</t>
  </si>
  <si>
    <t>04.07.</t>
  </si>
  <si>
    <t>05.07.</t>
  </si>
  <si>
    <t>06.07.</t>
  </si>
  <si>
    <t>07.07.</t>
  </si>
  <si>
    <t>08.07.</t>
  </si>
  <si>
    <t>09.07.</t>
  </si>
  <si>
    <t>10.07.</t>
  </si>
  <si>
    <t>11.07.</t>
  </si>
  <si>
    <t>12.07.</t>
  </si>
  <si>
    <t>13.07.</t>
  </si>
  <si>
    <t>14.07.</t>
  </si>
  <si>
    <t>15.07.</t>
  </si>
  <si>
    <t>16.07.</t>
  </si>
  <si>
    <t>17.07.</t>
  </si>
  <si>
    <t>18.07.</t>
  </si>
  <si>
    <t>19.07.</t>
  </si>
  <si>
    <t>20.07.</t>
  </si>
  <si>
    <t>21.07.</t>
  </si>
  <si>
    <t>22.07.</t>
  </si>
  <si>
    <t>23.07.</t>
  </si>
  <si>
    <t>24.07.</t>
  </si>
  <si>
    <t>25.07.</t>
  </si>
  <si>
    <t>26.07.</t>
  </si>
  <si>
    <t>27.07.</t>
  </si>
  <si>
    <t>28.07.</t>
  </si>
  <si>
    <t>29.07.</t>
  </si>
  <si>
    <t>30.07.</t>
  </si>
  <si>
    <t>31.07.</t>
  </si>
  <si>
    <t>01.08.</t>
  </si>
  <si>
    <t>02.08.</t>
  </si>
  <si>
    <t>03.08.</t>
  </si>
  <si>
    <t>04.08.</t>
  </si>
  <si>
    <t>05.08.</t>
  </si>
  <si>
    <t>06.08.</t>
  </si>
  <si>
    <t>07.08.</t>
  </si>
  <si>
    <t>08.08.</t>
  </si>
  <si>
    <t>09.08.</t>
  </si>
  <si>
    <t>10.08.</t>
  </si>
  <si>
    <t>11.08.</t>
  </si>
  <si>
    <t>12.08.</t>
  </si>
  <si>
    <t>13.08.</t>
  </si>
  <si>
    <t>14.08.</t>
  </si>
  <si>
    <t>15.08.</t>
  </si>
  <si>
    <t>16.08.</t>
  </si>
  <si>
    <t>17.08.</t>
  </si>
  <si>
    <t>18.08.</t>
  </si>
  <si>
    <t>19.08.</t>
  </si>
  <si>
    <t>20.08.</t>
  </si>
  <si>
    <t>21.08.</t>
  </si>
  <si>
    <t>22.08.</t>
  </si>
  <si>
    <t>23.08.</t>
  </si>
  <si>
    <t>24.08.</t>
  </si>
  <si>
    <t>25.08.</t>
  </si>
  <si>
    <t>26.08.</t>
  </si>
  <si>
    <t>27.08.</t>
  </si>
  <si>
    <t>28.08.</t>
  </si>
  <si>
    <t>29.08.</t>
  </si>
  <si>
    <t>30.08.</t>
  </si>
  <si>
    <t>31.08.</t>
  </si>
  <si>
    <t>01.09.</t>
  </si>
  <si>
    <t>02.09.</t>
  </si>
  <si>
    <t>03.09.</t>
  </si>
  <si>
    <t>04.09.</t>
  </si>
  <si>
    <t>05.09.</t>
  </si>
  <si>
    <t>06.09.</t>
  </si>
  <si>
    <t>07.09.</t>
  </si>
  <si>
    <t>08.09.</t>
  </si>
  <si>
    <t>09.09.</t>
  </si>
  <si>
    <t>10.09.</t>
  </si>
  <si>
    <t>11.09.</t>
  </si>
  <si>
    <t>12.09.</t>
  </si>
  <si>
    <t>13.09.</t>
  </si>
  <si>
    <t>14.09.</t>
  </si>
  <si>
    <t>15.09.</t>
  </si>
  <si>
    <t>16.09.</t>
  </si>
  <si>
    <t>17.09.</t>
  </si>
  <si>
    <t>18.09.</t>
  </si>
  <si>
    <t>19.09.</t>
  </si>
  <si>
    <t>20.09.</t>
  </si>
  <si>
    <t>21.09.</t>
  </si>
  <si>
    <t>22.09.</t>
  </si>
  <si>
    <t>23.09.</t>
  </si>
  <si>
    <t>24.09.</t>
  </si>
  <si>
    <t>25.09.</t>
  </si>
  <si>
    <t>26.09.</t>
  </si>
  <si>
    <t>27.09.</t>
  </si>
  <si>
    <t>28.09.</t>
  </si>
  <si>
    <t>29.09.</t>
  </si>
  <si>
    <t>30.09.</t>
  </si>
  <si>
    <t>01.10.</t>
  </si>
  <si>
    <t>02.10.</t>
  </si>
  <si>
    <t>03.10.</t>
  </si>
  <si>
    <t>04.10.</t>
  </si>
  <si>
    <t>05.10.</t>
  </si>
  <si>
    <t>06.10.</t>
  </si>
  <si>
    <t>07.10.</t>
  </si>
  <si>
    <t>08.10.</t>
  </si>
  <si>
    <t>09.10.</t>
  </si>
  <si>
    <t>10.10.</t>
  </si>
  <si>
    <t>11.10.</t>
  </si>
  <si>
    <t>12.10.</t>
  </si>
  <si>
    <t>13.10.</t>
  </si>
  <si>
    <t>14.10.</t>
  </si>
  <si>
    <t>15.10.</t>
  </si>
  <si>
    <t>23.10.</t>
  </si>
  <si>
    <t>24.10.</t>
  </si>
  <si>
    <t>25.10.</t>
  </si>
  <si>
    <t>26.10.</t>
  </si>
  <si>
    <t>27.10.</t>
  </si>
  <si>
    <t>28.10.</t>
  </si>
  <si>
    <t>29.10.</t>
  </si>
  <si>
    <t>30.10.</t>
  </si>
  <si>
    <t>31.10.</t>
  </si>
  <si>
    <t>01.11.</t>
  </si>
  <si>
    <t>02.11.</t>
  </si>
  <si>
    <t>03.11.</t>
  </si>
  <si>
    <t>04.11.</t>
  </si>
  <si>
    <t>05.11.</t>
  </si>
  <si>
    <t>06.11.</t>
  </si>
  <si>
    <t>07.11.</t>
  </si>
  <si>
    <t>08.11.</t>
  </si>
  <si>
    <t>09.11.</t>
  </si>
  <si>
    <t>10.11.</t>
  </si>
  <si>
    <t>11.11.</t>
  </si>
  <si>
    <t>12.11.</t>
  </si>
  <si>
    <t>13.11.</t>
  </si>
  <si>
    <t>14.11.</t>
  </si>
  <si>
    <t>15.11.</t>
  </si>
  <si>
    <t>16.11.</t>
  </si>
  <si>
    <t>17.11.</t>
  </si>
  <si>
    <t>18.11.</t>
  </si>
  <si>
    <t>19.11.</t>
  </si>
  <si>
    <t>20.11.</t>
  </si>
  <si>
    <t>21.11.</t>
  </si>
  <si>
    <t>22.11.</t>
  </si>
  <si>
    <t>23.11.</t>
  </si>
  <si>
    <t>24.11.</t>
  </si>
  <si>
    <t>25.11.</t>
  </si>
  <si>
    <t>26.11.</t>
  </si>
  <si>
    <t>27.11.</t>
  </si>
  <si>
    <t>28.11.</t>
  </si>
  <si>
    <t>29.11.</t>
  </si>
  <si>
    <t>30.11.</t>
  </si>
  <si>
    <t>01.12.</t>
  </si>
  <si>
    <t>02.12.</t>
  </si>
  <si>
    <t>03.12.</t>
  </si>
  <si>
    <t>04.12.</t>
  </si>
  <si>
    <t>05.12.</t>
  </si>
  <si>
    <t>06.12.</t>
  </si>
  <si>
    <t>07.12.</t>
  </si>
  <si>
    <t>08.12.</t>
  </si>
  <si>
    <t>09.12.</t>
  </si>
  <si>
    <t>10.12.</t>
  </si>
  <si>
    <t>11.12.</t>
  </si>
  <si>
    <t>12.12.</t>
  </si>
  <si>
    <t>13.12.</t>
  </si>
  <si>
    <t>14.12.</t>
  </si>
  <si>
    <t>15.12.</t>
  </si>
  <si>
    <t>16.12.</t>
  </si>
  <si>
    <t>17.12.</t>
  </si>
  <si>
    <t>18.12.</t>
  </si>
  <si>
    <t>19.12.</t>
  </si>
  <si>
    <t>20.12.</t>
  </si>
  <si>
    <t>21.12.</t>
  </si>
  <si>
    <t>22.12.</t>
  </si>
  <si>
    <t>23.12.</t>
  </si>
  <si>
    <t>24.12.</t>
  </si>
  <si>
    <t>25.12.</t>
  </si>
  <si>
    <t>26.12.</t>
  </si>
  <si>
    <t>27.12.</t>
  </si>
  <si>
    <t>28.12.</t>
  </si>
  <si>
    <t>29.12.</t>
  </si>
  <si>
    <t>FarbenLegende</t>
  </si>
  <si>
    <t>Überschrift</t>
  </si>
  <si>
    <t>Berechnet</t>
  </si>
  <si>
    <t>Letzte Woche</t>
  </si>
  <si>
    <t>Summe</t>
  </si>
  <si>
    <t>Ausfüllen</t>
  </si>
  <si>
    <t>Überstunden</t>
  </si>
  <si>
    <t>Anleitung</t>
  </si>
  <si>
    <t>Neue Woche:</t>
  </si>
  <si>
    <t>Namen ändern</t>
  </si>
  <si>
    <t>Überstunden übertragen</t>
  </si>
  <si>
    <t>Kalenderwoche aktualisieren</t>
  </si>
  <si>
    <t>Zeiten und Tätigkeiten löschen (Markieren und 'Entf')</t>
  </si>
  <si>
    <t>Ausfüllen bei neuer Woche</t>
  </si>
  <si>
    <t>Hinweis</t>
  </si>
  <si>
    <t>Nicht löschen, kann Formeln enthalten</t>
  </si>
  <si>
    <t>Arbeitsblatt kopieren (vor Einstellungen einfügen)</t>
  </si>
  <si>
    <t>Neues Jahr:</t>
  </si>
  <si>
    <t>https://www.aktuelle-kalenderwoche.org/</t>
  </si>
  <si>
    <t>Klicke auf das neue Jahr</t>
  </si>
  <si>
    <t>Markiere und kopiere die ganze Tabelle</t>
  </si>
  <si>
    <t>Excel Vorlage kopieren und umbenennen mit Jahr</t>
  </si>
  <si>
    <t>Füge sie in das Arbeitsblatt 'KalenderWochen' ein und überschreibe so das alte Jahr</t>
  </si>
  <si>
    <t>Andachten / Heimgottesdienste</t>
  </si>
  <si>
    <t>Taufe</t>
  </si>
  <si>
    <t>Trauung</t>
  </si>
  <si>
    <t>Beerdigung</t>
  </si>
  <si>
    <t>Gruppen und Kreise</t>
  </si>
  <si>
    <t>Selbstmanagement</t>
  </si>
  <si>
    <t>KINA und Öffentlichkeitsarbeit</t>
  </si>
  <si>
    <t>Diakonisches</t>
  </si>
  <si>
    <t>Stadtteilarbeit und Repräsentation</t>
  </si>
  <si>
    <t>Konvente / Ephoralkonferenzen</t>
  </si>
  <si>
    <t>Fortbildung</t>
  </si>
  <si>
    <t>Sonstiges</t>
  </si>
  <si>
    <t>Mietangelegenheiten</t>
  </si>
  <si>
    <t>Kirchenvorstand Sitzung</t>
  </si>
  <si>
    <t>Kirchenvorstand Vor und Nachbereitung</t>
  </si>
  <si>
    <t>Andachtenvorbereitung</t>
  </si>
  <si>
    <t>Taufgespräch</t>
  </si>
  <si>
    <t>Traugespräch</t>
  </si>
  <si>
    <t>Gruppenvorbereitung</t>
  </si>
  <si>
    <t>DB Ost</t>
  </si>
  <si>
    <t>DB Verw.</t>
  </si>
  <si>
    <t>DB Verkündigung</t>
  </si>
  <si>
    <t>Ausschuss Bau</t>
  </si>
  <si>
    <t>Ausschuss Gemeindeaufbau</t>
  </si>
  <si>
    <t>Ausschuss Finanzen</t>
  </si>
  <si>
    <t>Aussschuss Verwaltung</t>
  </si>
  <si>
    <t>Bauberatung</t>
  </si>
  <si>
    <t>Allg. Orga, Mails</t>
  </si>
  <si>
    <t>Beerdigung Vorbereitung</t>
  </si>
  <si>
    <t>Beerdigung Nachsorge</t>
  </si>
  <si>
    <t>DB Gruna-Seidnitz</t>
  </si>
  <si>
    <t>Gottesdienst / Predigt</t>
  </si>
  <si>
    <t>GD-/Predigtvorbereitung</t>
  </si>
  <si>
    <t>Supervision</t>
  </si>
  <si>
    <t>Hausbesuch (Geburtstag u.a.)</t>
  </si>
  <si>
    <t>DB sonstiges</t>
  </si>
  <si>
    <t>Ausschuss sonstiges</t>
  </si>
  <si>
    <t>Gemeindeveranstaltung</t>
  </si>
  <si>
    <t>Religionsunterricht</t>
  </si>
  <si>
    <t>Konfirmandenunterricht</t>
  </si>
  <si>
    <t>01.01.</t>
  </si>
  <si>
    <t>29.02.</t>
  </si>
  <si>
    <t>Verwaltung</t>
  </si>
  <si>
    <t>Betriebskostenabrechnung</t>
  </si>
  <si>
    <t>Betriebskosten</t>
  </si>
  <si>
    <t>Neujahrsempfang Sup.</t>
  </si>
  <si>
    <t>KV-Rüstzeit</t>
  </si>
  <si>
    <t>Bibelwochenende</t>
  </si>
  <si>
    <t>Rüstzeit und -Vorbereitung</t>
  </si>
  <si>
    <t>Konvent Mitte, Gewaltschutz</t>
  </si>
  <si>
    <t>Strukturgruppe</t>
  </si>
  <si>
    <t>Weltgebetstag</t>
  </si>
  <si>
    <t>:</t>
  </si>
  <si>
    <t>JG Bannewitz</t>
  </si>
  <si>
    <t>Geburtstag Ronny</t>
  </si>
  <si>
    <t>Steuerungsgruppe</t>
  </si>
  <si>
    <t>Krisengespräche</t>
  </si>
  <si>
    <t>Kirchnertreffen</t>
  </si>
  <si>
    <t>Durchschnitt</t>
  </si>
  <si>
    <t>Ausschuss Verwaltung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</si>
</sst>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"/>
    <numFmt numFmtId="165" formatCode="0.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333333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C0D0E"/>
      <name val="Var(--ff-mono)"/>
    </font>
    <font>
      <sz val="8"/>
      <color rgb="FF000000"/>
      <name val="Verdana"/>
      <family val="2"/>
    </font>
    <font>
      <sz val="7"/>
      <color rgb="FF000000"/>
      <name val="Inherit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/>
    <xf numFmtId="20" fontId="0" fillId="0" borderId="0" xfId="0" applyNumberFormat="1"/>
    <xf numFmtId="164" fontId="1" fillId="0" borderId="0" xfId="0" applyNumberFormat="1" applyFont="1"/>
    <xf numFmtId="0" fontId="1" fillId="2" borderId="0" xfId="0" applyFont="1" applyFill="1"/>
    <xf numFmtId="20" fontId="0" fillId="2" borderId="0" xfId="0" applyNumberFormat="1" applyFill="1"/>
    <xf numFmtId="164" fontId="1" fillId="2" borderId="0" xfId="0" applyNumberFormat="1" applyFont="1" applyFill="1"/>
    <xf numFmtId="20" fontId="1" fillId="2" borderId="0" xfId="0" applyNumberFormat="1" applyFont="1" applyFill="1"/>
    <xf numFmtId="20" fontId="0" fillId="3" borderId="0" xfId="0" applyNumberFormat="1" applyFill="1"/>
    <xf numFmtId="0" fontId="0" fillId="3" borderId="0" xfId="0" applyFill="1"/>
    <xf numFmtId="20" fontId="0" fillId="4" borderId="0" xfId="0" applyNumberFormat="1" applyFill="1"/>
    <xf numFmtId="2" fontId="0" fillId="0" borderId="0" xfId="0" applyNumberFormat="1"/>
    <xf numFmtId="0" fontId="0" fillId="2" borderId="0" xfId="0" applyFill="1"/>
    <xf numFmtId="165" fontId="0" fillId="5" borderId="0" xfId="0" applyNumberFormat="1" applyFill="1"/>
    <xf numFmtId="0" fontId="3" fillId="0" borderId="0" xfId="0" applyFont="1"/>
    <xf numFmtId="0" fontId="4" fillId="6" borderId="0" xfId="1" applyFill="1" applyAlignment="1">
      <alignment horizontal="center" vertical="center" wrapText="1"/>
    </xf>
    <xf numFmtId="0" fontId="4" fillId="7" borderId="0" xfId="1" applyFill="1" applyAlignment="1">
      <alignment horizontal="center" vertical="center" wrapText="1"/>
    </xf>
    <xf numFmtId="0" fontId="4" fillId="8" borderId="0" xfId="1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1" fontId="0" fillId="5" borderId="0" xfId="0" applyNumberFormat="1" applyFill="1"/>
    <xf numFmtId="165" fontId="1" fillId="5" borderId="0" xfId="0" applyNumberFormat="1" applyFont="1" applyFill="1"/>
    <xf numFmtId="0" fontId="1" fillId="9" borderId="0" xfId="0" applyFont="1" applyFill="1"/>
    <xf numFmtId="0" fontId="0" fillId="9" borderId="0" xfId="0" applyFill="1"/>
    <xf numFmtId="0" fontId="6" fillId="0" borderId="0" xfId="0" applyFont="1"/>
    <xf numFmtId="0" fontId="5" fillId="0" borderId="0" xfId="0" applyFont="1" applyAlignment="1">
      <alignment horizontal="left" vertical="center"/>
    </xf>
    <xf numFmtId="0" fontId="0" fillId="10" borderId="1" xfId="0" applyFill="1" applyBorder="1"/>
    <xf numFmtId="165" fontId="0" fillId="0" borderId="0" xfId="0" applyNumberFormat="1"/>
    <xf numFmtId="0" fontId="7" fillId="8" borderId="0" xfId="0" applyFont="1" applyFill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165" fontId="1" fillId="0" borderId="0" xfId="0" applyNumberFormat="1" applyFont="1"/>
  </cellXfs>
  <cellStyles count="2">
    <cellStyle name="Hyperlink" xfId="1" builtinId="8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107E7F-6124-4149-AC41-6F39EA0C5598}" name="Table2" displayName="Table2" ref="A1:A49" totalsRowShown="0" headerRowDxfId="0">
  <autoFilter ref="A1:A49" xr:uid="{34107E7F-6124-4149-AC41-6F39EA0C5598}"/>
  <sortState xmlns:xlrd2="http://schemas.microsoft.com/office/spreadsheetml/2017/richdata2" ref="A2:A65">
    <sortCondition ref="A1:A65"/>
  </sortState>
  <tableColumns count="1">
    <tableColumn id="1" xr3:uid="{37243214-83B7-41AF-AC9A-A6903C2A7B93}" name="Tätigkeite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ktuelle-kalenderwoche.org/kalenderwochen/2024/kw-13" TargetMode="External"/><Relationship Id="rId18" Type="http://schemas.openxmlformats.org/officeDocument/2006/relationships/hyperlink" Target="https://www.aktuelle-kalenderwoche.org/kalenderwochen/2024/kw-18" TargetMode="External"/><Relationship Id="rId26" Type="http://schemas.openxmlformats.org/officeDocument/2006/relationships/hyperlink" Target="https://www.aktuelle-kalenderwoche.org/kalenderwochen/2024/kw-26" TargetMode="External"/><Relationship Id="rId39" Type="http://schemas.openxmlformats.org/officeDocument/2006/relationships/hyperlink" Target="https://www.aktuelle-kalenderwoche.org/kalenderwochen/2024/kw-39" TargetMode="External"/><Relationship Id="rId21" Type="http://schemas.openxmlformats.org/officeDocument/2006/relationships/hyperlink" Target="https://www.aktuelle-kalenderwoche.org/kalenderwochen/2024/kw-21" TargetMode="External"/><Relationship Id="rId34" Type="http://schemas.openxmlformats.org/officeDocument/2006/relationships/hyperlink" Target="https://www.aktuelle-kalenderwoche.org/kalenderwochen/2024/kw-34" TargetMode="External"/><Relationship Id="rId42" Type="http://schemas.openxmlformats.org/officeDocument/2006/relationships/hyperlink" Target="https://www.aktuelle-kalenderwoche.org/kalenderwochen/2024/kw-42" TargetMode="External"/><Relationship Id="rId47" Type="http://schemas.openxmlformats.org/officeDocument/2006/relationships/hyperlink" Target="https://www.aktuelle-kalenderwoche.org/kalenderwochen/2024/kw-47" TargetMode="External"/><Relationship Id="rId50" Type="http://schemas.openxmlformats.org/officeDocument/2006/relationships/hyperlink" Target="https://www.aktuelle-kalenderwoche.org/kalenderwochen/2024/kw-50" TargetMode="External"/><Relationship Id="rId7" Type="http://schemas.openxmlformats.org/officeDocument/2006/relationships/hyperlink" Target="https://www.aktuelle-kalenderwoche.org/kalenderwochen/2024/kw-7" TargetMode="External"/><Relationship Id="rId2" Type="http://schemas.openxmlformats.org/officeDocument/2006/relationships/hyperlink" Target="https://www.aktuelle-kalenderwoche.org/kalenderwochen/2024/kw-2" TargetMode="External"/><Relationship Id="rId16" Type="http://schemas.openxmlformats.org/officeDocument/2006/relationships/hyperlink" Target="https://www.aktuelle-kalenderwoche.org/kalenderwochen/2024/kw-16" TargetMode="External"/><Relationship Id="rId29" Type="http://schemas.openxmlformats.org/officeDocument/2006/relationships/hyperlink" Target="https://www.aktuelle-kalenderwoche.org/kalenderwochen/2024/kw-29" TargetMode="External"/><Relationship Id="rId11" Type="http://schemas.openxmlformats.org/officeDocument/2006/relationships/hyperlink" Target="https://www.aktuelle-kalenderwoche.org/kalenderwochen/2024/kw-11" TargetMode="External"/><Relationship Id="rId24" Type="http://schemas.openxmlformats.org/officeDocument/2006/relationships/hyperlink" Target="https://www.aktuelle-kalenderwoche.org/kalenderwochen/2024/kw-24" TargetMode="External"/><Relationship Id="rId32" Type="http://schemas.openxmlformats.org/officeDocument/2006/relationships/hyperlink" Target="https://www.aktuelle-kalenderwoche.org/kalenderwochen/2024/kw-32" TargetMode="External"/><Relationship Id="rId37" Type="http://schemas.openxmlformats.org/officeDocument/2006/relationships/hyperlink" Target="https://www.aktuelle-kalenderwoche.org/kalenderwochen/2024/kw-37" TargetMode="External"/><Relationship Id="rId40" Type="http://schemas.openxmlformats.org/officeDocument/2006/relationships/hyperlink" Target="https://www.aktuelle-kalenderwoche.org/kalenderwochen/2024/kw-40" TargetMode="External"/><Relationship Id="rId45" Type="http://schemas.openxmlformats.org/officeDocument/2006/relationships/hyperlink" Target="https://www.aktuelle-kalenderwoche.org/kalenderwochen/2024/kw-45" TargetMode="External"/><Relationship Id="rId5" Type="http://schemas.openxmlformats.org/officeDocument/2006/relationships/hyperlink" Target="https://www.aktuelle-kalenderwoche.org/kalenderwochen/2024/kw-5" TargetMode="External"/><Relationship Id="rId15" Type="http://schemas.openxmlformats.org/officeDocument/2006/relationships/hyperlink" Target="https://www.aktuelle-kalenderwoche.org/kalenderwochen/2024/kw-15" TargetMode="External"/><Relationship Id="rId23" Type="http://schemas.openxmlformats.org/officeDocument/2006/relationships/hyperlink" Target="https://www.aktuelle-kalenderwoche.org/kalenderwochen/2024/kw-23" TargetMode="External"/><Relationship Id="rId28" Type="http://schemas.openxmlformats.org/officeDocument/2006/relationships/hyperlink" Target="https://www.aktuelle-kalenderwoche.org/kalenderwochen/2024/kw-28" TargetMode="External"/><Relationship Id="rId36" Type="http://schemas.openxmlformats.org/officeDocument/2006/relationships/hyperlink" Target="https://www.aktuelle-kalenderwoche.org/kalenderwochen/2024/kw-36" TargetMode="External"/><Relationship Id="rId49" Type="http://schemas.openxmlformats.org/officeDocument/2006/relationships/hyperlink" Target="https://www.aktuelle-kalenderwoche.org/kalenderwochen/2024/kw-49" TargetMode="External"/><Relationship Id="rId10" Type="http://schemas.openxmlformats.org/officeDocument/2006/relationships/hyperlink" Target="https://www.aktuelle-kalenderwoche.org/kalenderwochen/2024/kw-10" TargetMode="External"/><Relationship Id="rId19" Type="http://schemas.openxmlformats.org/officeDocument/2006/relationships/hyperlink" Target="https://www.aktuelle-kalenderwoche.org/kalenderwochen/2024/kw-19" TargetMode="External"/><Relationship Id="rId31" Type="http://schemas.openxmlformats.org/officeDocument/2006/relationships/hyperlink" Target="https://www.aktuelle-kalenderwoche.org/kalenderwochen/2024/kw-31" TargetMode="External"/><Relationship Id="rId44" Type="http://schemas.openxmlformats.org/officeDocument/2006/relationships/hyperlink" Target="https://www.aktuelle-kalenderwoche.org/kalenderwochen/2024/kw-44" TargetMode="External"/><Relationship Id="rId52" Type="http://schemas.openxmlformats.org/officeDocument/2006/relationships/hyperlink" Target="https://www.aktuelle-kalenderwoche.org/kalenderwochen/2024/kw-52" TargetMode="External"/><Relationship Id="rId4" Type="http://schemas.openxmlformats.org/officeDocument/2006/relationships/hyperlink" Target="https://www.aktuelle-kalenderwoche.org/kalenderwochen/2024/kw-4" TargetMode="External"/><Relationship Id="rId9" Type="http://schemas.openxmlformats.org/officeDocument/2006/relationships/hyperlink" Target="https://www.aktuelle-kalenderwoche.org/kalenderwochen/2024/kw-9" TargetMode="External"/><Relationship Id="rId14" Type="http://schemas.openxmlformats.org/officeDocument/2006/relationships/hyperlink" Target="https://www.aktuelle-kalenderwoche.org/kalenderwochen/2024/kw-14" TargetMode="External"/><Relationship Id="rId22" Type="http://schemas.openxmlformats.org/officeDocument/2006/relationships/hyperlink" Target="https://www.aktuelle-kalenderwoche.org/kalenderwochen/2024/kw-22" TargetMode="External"/><Relationship Id="rId27" Type="http://schemas.openxmlformats.org/officeDocument/2006/relationships/hyperlink" Target="https://www.aktuelle-kalenderwoche.org/kalenderwochen/2024/kw-27" TargetMode="External"/><Relationship Id="rId30" Type="http://schemas.openxmlformats.org/officeDocument/2006/relationships/hyperlink" Target="https://www.aktuelle-kalenderwoche.org/kalenderwochen/2024/kw-30" TargetMode="External"/><Relationship Id="rId35" Type="http://schemas.openxmlformats.org/officeDocument/2006/relationships/hyperlink" Target="https://www.aktuelle-kalenderwoche.org/kalenderwochen/2024/kw-35" TargetMode="External"/><Relationship Id="rId43" Type="http://schemas.openxmlformats.org/officeDocument/2006/relationships/hyperlink" Target="https://www.aktuelle-kalenderwoche.org/kalenderwochen/2024/kw-43" TargetMode="External"/><Relationship Id="rId48" Type="http://schemas.openxmlformats.org/officeDocument/2006/relationships/hyperlink" Target="https://www.aktuelle-kalenderwoche.org/kalenderwochen/2024/kw-48" TargetMode="External"/><Relationship Id="rId8" Type="http://schemas.openxmlformats.org/officeDocument/2006/relationships/hyperlink" Target="https://www.aktuelle-kalenderwoche.org/kalenderwochen/2024/kw-8" TargetMode="External"/><Relationship Id="rId51" Type="http://schemas.openxmlformats.org/officeDocument/2006/relationships/hyperlink" Target="https://www.aktuelle-kalenderwoche.org/kalenderwochen/2024/kw-51" TargetMode="External"/><Relationship Id="rId3" Type="http://schemas.openxmlformats.org/officeDocument/2006/relationships/hyperlink" Target="https://www.aktuelle-kalenderwoche.org/kalenderwochen/2024/kw-3" TargetMode="External"/><Relationship Id="rId12" Type="http://schemas.openxmlformats.org/officeDocument/2006/relationships/hyperlink" Target="https://www.aktuelle-kalenderwoche.org/kalenderwochen/2024/kw-12" TargetMode="External"/><Relationship Id="rId17" Type="http://schemas.openxmlformats.org/officeDocument/2006/relationships/hyperlink" Target="https://www.aktuelle-kalenderwoche.org/kalenderwochen/2024/kw-17" TargetMode="External"/><Relationship Id="rId25" Type="http://schemas.openxmlformats.org/officeDocument/2006/relationships/hyperlink" Target="https://www.aktuelle-kalenderwoche.org/kalenderwochen/2024/kw-25" TargetMode="External"/><Relationship Id="rId33" Type="http://schemas.openxmlformats.org/officeDocument/2006/relationships/hyperlink" Target="https://www.aktuelle-kalenderwoche.org/kalenderwochen/2024/kw-33" TargetMode="External"/><Relationship Id="rId38" Type="http://schemas.openxmlformats.org/officeDocument/2006/relationships/hyperlink" Target="https://www.aktuelle-kalenderwoche.org/kalenderwochen/2024/kw-38" TargetMode="External"/><Relationship Id="rId46" Type="http://schemas.openxmlformats.org/officeDocument/2006/relationships/hyperlink" Target="https://www.aktuelle-kalenderwoche.org/kalenderwochen/2024/kw-46" TargetMode="External"/><Relationship Id="rId20" Type="http://schemas.openxmlformats.org/officeDocument/2006/relationships/hyperlink" Target="https://www.aktuelle-kalenderwoche.org/kalenderwochen/2024/kw-20" TargetMode="External"/><Relationship Id="rId41" Type="http://schemas.openxmlformats.org/officeDocument/2006/relationships/hyperlink" Target="https://www.aktuelle-kalenderwoche.org/kalenderwochen/2024/kw-41" TargetMode="External"/><Relationship Id="rId1" Type="http://schemas.openxmlformats.org/officeDocument/2006/relationships/hyperlink" Target="https://www.aktuelle-kalenderwoche.org/kalenderwochen/2024/kw-1" TargetMode="External"/><Relationship Id="rId6" Type="http://schemas.openxmlformats.org/officeDocument/2006/relationships/hyperlink" Target="https://www.aktuelle-kalenderwoche.org/kalenderwochen/2024/kw-6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8864C-B5DA-48A1-9D66-4F5A295197B1}">
  <sheetPr codeName="Sheet1"/>
  <dimension ref="A1:H53"/>
  <sheetViews>
    <sheetView workbookViewId="0">
      <selection activeCell="M32" sqref="M32"/>
    </sheetView>
  </sheetViews>
  <sheetFormatPr defaultColWidth="8.90625" defaultRowHeight="14.5"/>
  <sheetData>
    <row r="1" spans="1:8">
      <c r="A1" s="18" t="s">
        <v>27</v>
      </c>
      <c r="B1" s="18" t="s">
        <v>11</v>
      </c>
      <c r="C1" s="18" t="s">
        <v>13</v>
      </c>
      <c r="D1" s="18" t="s">
        <v>15</v>
      </c>
      <c r="E1" s="18" t="s">
        <v>17</v>
      </c>
      <c r="F1" s="18" t="s">
        <v>19</v>
      </c>
      <c r="G1" s="18" t="s">
        <v>21</v>
      </c>
      <c r="H1" s="18" t="s">
        <v>23</v>
      </c>
    </row>
    <row r="2" spans="1:8">
      <c r="A2" s="17">
        <v>1</v>
      </c>
      <c r="B2" s="27" t="s">
        <v>446</v>
      </c>
      <c r="C2" s="27" t="s">
        <v>28</v>
      </c>
      <c r="D2" s="27" t="s">
        <v>29</v>
      </c>
      <c r="E2" s="27" t="s">
        <v>30</v>
      </c>
      <c r="F2" s="27" t="s">
        <v>31</v>
      </c>
      <c r="G2" s="27" t="s">
        <v>32</v>
      </c>
      <c r="H2" s="27" t="s">
        <v>33</v>
      </c>
    </row>
    <row r="3" spans="1:8">
      <c r="A3" s="16">
        <v>2</v>
      </c>
      <c r="B3" s="28" t="s">
        <v>34</v>
      </c>
      <c r="C3" s="28" t="s">
        <v>35</v>
      </c>
      <c r="D3" s="28" t="s">
        <v>36</v>
      </c>
      <c r="E3" s="28" t="s">
        <v>37</v>
      </c>
      <c r="F3" s="28" t="s">
        <v>38</v>
      </c>
      <c r="G3" s="28" t="s">
        <v>39</v>
      </c>
      <c r="H3" s="28" t="s">
        <v>40</v>
      </c>
    </row>
    <row r="4" spans="1:8">
      <c r="A4" s="15">
        <v>3</v>
      </c>
      <c r="B4" s="29" t="s">
        <v>41</v>
      </c>
      <c r="C4" s="29" t="s">
        <v>42</v>
      </c>
      <c r="D4" s="29" t="s">
        <v>43</v>
      </c>
      <c r="E4" s="29" t="s">
        <v>44</v>
      </c>
      <c r="F4" s="29" t="s">
        <v>45</v>
      </c>
      <c r="G4" s="29" t="s">
        <v>46</v>
      </c>
      <c r="H4" s="29" t="s">
        <v>47</v>
      </c>
    </row>
    <row r="5" spans="1:8">
      <c r="A5" s="16">
        <v>4</v>
      </c>
      <c r="B5" s="28" t="s">
        <v>48</v>
      </c>
      <c r="C5" s="28" t="s">
        <v>49</v>
      </c>
      <c r="D5" s="28" t="s">
        <v>50</v>
      </c>
      <c r="E5" s="28" t="s">
        <v>51</v>
      </c>
      <c r="F5" s="28" t="s">
        <v>52</v>
      </c>
      <c r="G5" s="28" t="s">
        <v>53</v>
      </c>
      <c r="H5" s="28" t="s">
        <v>54</v>
      </c>
    </row>
    <row r="6" spans="1:8">
      <c r="A6" s="15">
        <v>5</v>
      </c>
      <c r="B6" s="29" t="s">
        <v>55</v>
      </c>
      <c r="C6" s="29" t="s">
        <v>56</v>
      </c>
      <c r="D6" s="29" t="s">
        <v>57</v>
      </c>
      <c r="E6" s="29" t="s">
        <v>58</v>
      </c>
      <c r="F6" s="29" t="s">
        <v>59</v>
      </c>
      <c r="G6" s="29" t="s">
        <v>60</v>
      </c>
      <c r="H6" s="29" t="s">
        <v>61</v>
      </c>
    </row>
    <row r="7" spans="1:8">
      <c r="A7" s="16">
        <v>6</v>
      </c>
      <c r="B7" s="28" t="s">
        <v>62</v>
      </c>
      <c r="C7" s="28" t="s">
        <v>63</v>
      </c>
      <c r="D7" s="28" t="s">
        <v>64</v>
      </c>
      <c r="E7" s="28" t="s">
        <v>65</v>
      </c>
      <c r="F7" s="28" t="s">
        <v>66</v>
      </c>
      <c r="G7" s="28" t="s">
        <v>67</v>
      </c>
      <c r="H7" s="28" t="s">
        <v>68</v>
      </c>
    </row>
    <row r="8" spans="1:8">
      <c r="A8" s="15">
        <v>7</v>
      </c>
      <c r="B8" s="29" t="s">
        <v>69</v>
      </c>
      <c r="C8" s="29" t="s">
        <v>70</v>
      </c>
      <c r="D8" s="29" t="s">
        <v>71</v>
      </c>
      <c r="E8" s="29" t="s">
        <v>72</v>
      </c>
      <c r="F8" s="29" t="s">
        <v>73</v>
      </c>
      <c r="G8" s="29" t="s">
        <v>74</v>
      </c>
      <c r="H8" s="29" t="s">
        <v>75</v>
      </c>
    </row>
    <row r="9" spans="1:8">
      <c r="A9" s="16">
        <v>8</v>
      </c>
      <c r="B9" s="28" t="s">
        <v>76</v>
      </c>
      <c r="C9" s="28" t="s">
        <v>77</v>
      </c>
      <c r="D9" s="28" t="s">
        <v>78</v>
      </c>
      <c r="E9" s="28" t="s">
        <v>79</v>
      </c>
      <c r="F9" s="28" t="s">
        <v>80</v>
      </c>
      <c r="G9" s="28" t="s">
        <v>81</v>
      </c>
      <c r="H9" s="28" t="s">
        <v>82</v>
      </c>
    </row>
    <row r="10" spans="1:8">
      <c r="A10" s="15">
        <v>9</v>
      </c>
      <c r="B10" s="29" t="s">
        <v>83</v>
      </c>
      <c r="C10" s="29" t="s">
        <v>84</v>
      </c>
      <c r="D10" s="29" t="s">
        <v>85</v>
      </c>
      <c r="E10" s="29" t="s">
        <v>447</v>
      </c>
      <c r="F10" s="29" t="s">
        <v>86</v>
      </c>
      <c r="G10" s="29" t="s">
        <v>87</v>
      </c>
      <c r="H10" s="29" t="s">
        <v>88</v>
      </c>
    </row>
    <row r="11" spans="1:8">
      <c r="A11" s="16">
        <v>10</v>
      </c>
      <c r="B11" s="28" t="s">
        <v>89</v>
      </c>
      <c r="C11" s="28" t="s">
        <v>90</v>
      </c>
      <c r="D11" s="28" t="s">
        <v>91</v>
      </c>
      <c r="E11" s="28" t="s">
        <v>92</v>
      </c>
      <c r="F11" s="28" t="s">
        <v>93</v>
      </c>
      <c r="G11" s="28" t="s">
        <v>94</v>
      </c>
      <c r="H11" s="28" t="s">
        <v>95</v>
      </c>
    </row>
    <row r="12" spans="1:8">
      <c r="A12" s="15">
        <v>11</v>
      </c>
      <c r="B12" s="29" t="s">
        <v>96</v>
      </c>
      <c r="C12" s="29" t="s">
        <v>97</v>
      </c>
      <c r="D12" s="29" t="s">
        <v>98</v>
      </c>
      <c r="E12" s="29" t="s">
        <v>99</v>
      </c>
      <c r="F12" s="29" t="s">
        <v>100</v>
      </c>
      <c r="G12" s="29" t="s">
        <v>101</v>
      </c>
      <c r="H12" s="29" t="s">
        <v>102</v>
      </c>
    </row>
    <row r="13" spans="1:8">
      <c r="A13" s="16">
        <v>12</v>
      </c>
      <c r="B13" s="28" t="s">
        <v>103</v>
      </c>
      <c r="C13" s="28" t="s">
        <v>104</v>
      </c>
      <c r="D13" s="28" t="s">
        <v>105</v>
      </c>
      <c r="E13" s="28" t="s">
        <v>106</v>
      </c>
      <c r="F13" s="28" t="s">
        <v>107</v>
      </c>
      <c r="G13" s="28" t="s">
        <v>108</v>
      </c>
      <c r="H13" s="28" t="s">
        <v>109</v>
      </c>
    </row>
    <row r="14" spans="1:8">
      <c r="A14" s="15">
        <v>13</v>
      </c>
      <c r="B14" s="29" t="s">
        <v>110</v>
      </c>
      <c r="C14" s="29" t="s">
        <v>111</v>
      </c>
      <c r="D14" s="29" t="s">
        <v>112</v>
      </c>
      <c r="E14" s="29" t="s">
        <v>113</v>
      </c>
      <c r="F14" s="29" t="s">
        <v>114</v>
      </c>
      <c r="G14" s="29" t="s">
        <v>115</v>
      </c>
      <c r="H14" s="29" t="s">
        <v>116</v>
      </c>
    </row>
    <row r="15" spans="1:8">
      <c r="A15" s="16">
        <v>14</v>
      </c>
      <c r="B15" s="28" t="s">
        <v>117</v>
      </c>
      <c r="C15" s="28" t="s">
        <v>118</v>
      </c>
      <c r="D15" s="28" t="s">
        <v>119</v>
      </c>
      <c r="E15" s="28" t="s">
        <v>120</v>
      </c>
      <c r="F15" s="28" t="s">
        <v>121</v>
      </c>
      <c r="G15" s="28" t="s">
        <v>122</v>
      </c>
      <c r="H15" s="28" t="s">
        <v>123</v>
      </c>
    </row>
    <row r="16" spans="1:8">
      <c r="A16" s="15">
        <v>15</v>
      </c>
      <c r="B16" s="29" t="s">
        <v>124</v>
      </c>
      <c r="C16" s="29" t="s">
        <v>125</v>
      </c>
      <c r="D16" s="29" t="s">
        <v>126</v>
      </c>
      <c r="E16" s="29" t="s">
        <v>127</v>
      </c>
      <c r="F16" s="29" t="s">
        <v>128</v>
      </c>
      <c r="G16" s="29" t="s">
        <v>129</v>
      </c>
      <c r="H16" s="29" t="s">
        <v>130</v>
      </c>
    </row>
    <row r="17" spans="1:8">
      <c r="A17" s="16">
        <v>16</v>
      </c>
      <c r="B17" s="28" t="s">
        <v>131</v>
      </c>
      <c r="C17" s="28" t="s">
        <v>132</v>
      </c>
      <c r="D17" s="28" t="s">
        <v>133</v>
      </c>
      <c r="E17" s="28" t="s">
        <v>134</v>
      </c>
      <c r="F17" s="28" t="s">
        <v>135</v>
      </c>
      <c r="G17" s="28" t="s">
        <v>136</v>
      </c>
      <c r="H17" s="28" t="s">
        <v>137</v>
      </c>
    </row>
    <row r="18" spans="1:8">
      <c r="A18" s="15">
        <v>17</v>
      </c>
      <c r="B18" s="29" t="s">
        <v>138</v>
      </c>
      <c r="C18" s="29" t="s">
        <v>139</v>
      </c>
      <c r="D18" s="29" t="s">
        <v>140</v>
      </c>
      <c r="E18" s="29" t="s">
        <v>141</v>
      </c>
      <c r="F18" s="29" t="s">
        <v>142</v>
      </c>
      <c r="G18" s="29" t="s">
        <v>143</v>
      </c>
      <c r="H18" s="29" t="s">
        <v>144</v>
      </c>
    </row>
    <row r="19" spans="1:8">
      <c r="A19" s="16">
        <v>18</v>
      </c>
      <c r="B19" s="28" t="s">
        <v>145</v>
      </c>
      <c r="C19" s="28" t="s">
        <v>146</v>
      </c>
      <c r="D19" s="28" t="s">
        <v>147</v>
      </c>
      <c r="E19" s="28" t="s">
        <v>148</v>
      </c>
      <c r="F19" s="28" t="s">
        <v>149</v>
      </c>
      <c r="G19" s="28" t="s">
        <v>150</v>
      </c>
      <c r="H19" s="28" t="s">
        <v>151</v>
      </c>
    </row>
    <row r="20" spans="1:8">
      <c r="A20" s="15">
        <v>19</v>
      </c>
      <c r="B20" s="29" t="s">
        <v>152</v>
      </c>
      <c r="C20" s="29" t="s">
        <v>153</v>
      </c>
      <c r="D20" s="29" t="s">
        <v>154</v>
      </c>
      <c r="E20" s="29" t="s">
        <v>155</v>
      </c>
      <c r="F20" s="29" t="s">
        <v>156</v>
      </c>
      <c r="G20" s="29" t="s">
        <v>157</v>
      </c>
      <c r="H20" s="29" t="s">
        <v>158</v>
      </c>
    </row>
    <row r="21" spans="1:8">
      <c r="A21" s="16">
        <v>20</v>
      </c>
      <c r="B21" s="28" t="s">
        <v>159</v>
      </c>
      <c r="C21" s="28" t="s">
        <v>160</v>
      </c>
      <c r="D21" s="28" t="s">
        <v>161</v>
      </c>
      <c r="E21" s="28" t="s">
        <v>162</v>
      </c>
      <c r="F21" s="28" t="s">
        <v>163</v>
      </c>
      <c r="G21" s="28" t="s">
        <v>164</v>
      </c>
      <c r="H21" s="28" t="s">
        <v>165</v>
      </c>
    </row>
    <row r="22" spans="1:8">
      <c r="A22" s="15">
        <v>21</v>
      </c>
      <c r="B22" s="29" t="s">
        <v>166</v>
      </c>
      <c r="C22" s="29" t="s">
        <v>167</v>
      </c>
      <c r="D22" s="29" t="s">
        <v>168</v>
      </c>
      <c r="E22" s="29" t="s">
        <v>169</v>
      </c>
      <c r="F22" s="29" t="s">
        <v>170</v>
      </c>
      <c r="G22" s="29" t="s">
        <v>171</v>
      </c>
      <c r="H22" s="29" t="s">
        <v>172</v>
      </c>
    </row>
    <row r="23" spans="1:8">
      <c r="A23" s="16">
        <v>22</v>
      </c>
      <c r="B23" s="28" t="s">
        <v>173</v>
      </c>
      <c r="C23" s="28" t="s">
        <v>174</v>
      </c>
      <c r="D23" s="28" t="s">
        <v>175</v>
      </c>
      <c r="E23" s="28" t="s">
        <v>176</v>
      </c>
      <c r="F23" s="28" t="s">
        <v>177</v>
      </c>
      <c r="G23" s="28" t="s">
        <v>178</v>
      </c>
      <c r="H23" s="28" t="s">
        <v>179</v>
      </c>
    </row>
    <row r="24" spans="1:8">
      <c r="A24" s="15">
        <v>23</v>
      </c>
      <c r="B24" s="29" t="s">
        <v>180</v>
      </c>
      <c r="C24" s="29" t="s">
        <v>181</v>
      </c>
      <c r="D24" s="29" t="s">
        <v>182</v>
      </c>
      <c r="E24" s="29" t="s">
        <v>183</v>
      </c>
      <c r="F24" s="29" t="s">
        <v>184</v>
      </c>
      <c r="G24" s="29" t="s">
        <v>185</v>
      </c>
      <c r="H24" s="29" t="s">
        <v>186</v>
      </c>
    </row>
    <row r="25" spans="1:8">
      <c r="A25" s="16">
        <v>24</v>
      </c>
      <c r="B25" s="28" t="s">
        <v>187</v>
      </c>
      <c r="C25" s="28" t="s">
        <v>188</v>
      </c>
      <c r="D25" s="28" t="s">
        <v>189</v>
      </c>
      <c r="E25" s="28" t="s">
        <v>190</v>
      </c>
      <c r="F25" s="28" t="s">
        <v>191</v>
      </c>
      <c r="G25" s="28" t="s">
        <v>192</v>
      </c>
      <c r="H25" s="28" t="s">
        <v>193</v>
      </c>
    </row>
    <row r="26" spans="1:8">
      <c r="A26" s="15">
        <v>25</v>
      </c>
      <c r="B26" s="29" t="s">
        <v>194</v>
      </c>
      <c r="C26" s="29" t="s">
        <v>195</v>
      </c>
      <c r="D26" s="29" t="s">
        <v>196</v>
      </c>
      <c r="E26" s="29" t="s">
        <v>197</v>
      </c>
      <c r="F26" s="29" t="s">
        <v>198</v>
      </c>
      <c r="G26" s="29" t="s">
        <v>199</v>
      </c>
      <c r="H26" s="29" t="s">
        <v>200</v>
      </c>
    </row>
    <row r="27" spans="1:8">
      <c r="A27" s="16">
        <v>26</v>
      </c>
      <c r="B27" s="28" t="s">
        <v>201</v>
      </c>
      <c r="C27" s="28" t="s">
        <v>202</v>
      </c>
      <c r="D27" s="28" t="s">
        <v>203</v>
      </c>
      <c r="E27" s="28" t="s">
        <v>204</v>
      </c>
      <c r="F27" s="28" t="s">
        <v>205</v>
      </c>
      <c r="G27" s="28" t="s">
        <v>206</v>
      </c>
      <c r="H27" s="28" t="s">
        <v>207</v>
      </c>
    </row>
    <row r="28" spans="1:8">
      <c r="A28" s="15">
        <v>27</v>
      </c>
      <c r="B28" s="29" t="s">
        <v>208</v>
      </c>
      <c r="C28" s="29" t="s">
        <v>209</v>
      </c>
      <c r="D28" s="29" t="s">
        <v>210</v>
      </c>
      <c r="E28" s="29" t="s">
        <v>211</v>
      </c>
      <c r="F28" s="29" t="s">
        <v>212</v>
      </c>
      <c r="G28" s="29" t="s">
        <v>213</v>
      </c>
      <c r="H28" s="29" t="s">
        <v>214</v>
      </c>
    </row>
    <row r="29" spans="1:8">
      <c r="A29" s="16">
        <v>28</v>
      </c>
      <c r="B29" s="28" t="s">
        <v>215</v>
      </c>
      <c r="C29" s="28" t="s">
        <v>216</v>
      </c>
      <c r="D29" s="28" t="s">
        <v>217</v>
      </c>
      <c r="E29" s="28" t="s">
        <v>218</v>
      </c>
      <c r="F29" s="28" t="s">
        <v>219</v>
      </c>
      <c r="G29" s="28" t="s">
        <v>220</v>
      </c>
      <c r="H29" s="28" t="s">
        <v>221</v>
      </c>
    </row>
    <row r="30" spans="1:8">
      <c r="A30" s="15">
        <v>29</v>
      </c>
      <c r="B30" s="29" t="s">
        <v>222</v>
      </c>
      <c r="C30" s="29" t="s">
        <v>223</v>
      </c>
      <c r="D30" s="29" t="s">
        <v>224</v>
      </c>
      <c r="E30" s="29" t="s">
        <v>225</v>
      </c>
      <c r="F30" s="29" t="s">
        <v>226</v>
      </c>
      <c r="G30" s="29" t="s">
        <v>227</v>
      </c>
      <c r="H30" s="29" t="s">
        <v>228</v>
      </c>
    </row>
    <row r="31" spans="1:8">
      <c r="A31" s="16">
        <v>30</v>
      </c>
      <c r="B31" s="28" t="s">
        <v>229</v>
      </c>
      <c r="C31" s="28" t="s">
        <v>230</v>
      </c>
      <c r="D31" s="28" t="s">
        <v>231</v>
      </c>
      <c r="E31" s="28" t="s">
        <v>232</v>
      </c>
      <c r="F31" s="28" t="s">
        <v>233</v>
      </c>
      <c r="G31" s="28" t="s">
        <v>234</v>
      </c>
      <c r="H31" s="28" t="s">
        <v>235</v>
      </c>
    </row>
    <row r="32" spans="1:8">
      <c r="A32" s="15">
        <v>31</v>
      </c>
      <c r="B32" s="29" t="s">
        <v>236</v>
      </c>
      <c r="C32" s="29" t="s">
        <v>237</v>
      </c>
      <c r="D32" s="29" t="s">
        <v>238</v>
      </c>
      <c r="E32" s="29" t="s">
        <v>239</v>
      </c>
      <c r="F32" s="29" t="s">
        <v>240</v>
      </c>
      <c r="G32" s="29" t="s">
        <v>241</v>
      </c>
      <c r="H32" s="29" t="s">
        <v>242</v>
      </c>
    </row>
    <row r="33" spans="1:8">
      <c r="A33" s="16">
        <v>32</v>
      </c>
      <c r="B33" s="28" t="s">
        <v>243</v>
      </c>
      <c r="C33" s="28" t="s">
        <v>244</v>
      </c>
      <c r="D33" s="28" t="s">
        <v>245</v>
      </c>
      <c r="E33" s="28" t="s">
        <v>246</v>
      </c>
      <c r="F33" s="28" t="s">
        <v>247</v>
      </c>
      <c r="G33" s="28" t="s">
        <v>248</v>
      </c>
      <c r="H33" s="28" t="s">
        <v>249</v>
      </c>
    </row>
    <row r="34" spans="1:8">
      <c r="A34" s="15">
        <v>33</v>
      </c>
      <c r="B34" s="29" t="s">
        <v>250</v>
      </c>
      <c r="C34" s="29" t="s">
        <v>251</v>
      </c>
      <c r="D34" s="29" t="s">
        <v>252</v>
      </c>
      <c r="E34" s="29" t="s">
        <v>253</v>
      </c>
      <c r="F34" s="29" t="s">
        <v>254</v>
      </c>
      <c r="G34" s="29" t="s">
        <v>255</v>
      </c>
      <c r="H34" s="29" t="s">
        <v>256</v>
      </c>
    </row>
    <row r="35" spans="1:8">
      <c r="A35" s="16">
        <v>34</v>
      </c>
      <c r="B35" s="28" t="s">
        <v>257</v>
      </c>
      <c r="C35" s="28" t="s">
        <v>258</v>
      </c>
      <c r="D35" s="28" t="s">
        <v>259</v>
      </c>
      <c r="E35" s="28" t="s">
        <v>260</v>
      </c>
      <c r="F35" s="28" t="s">
        <v>261</v>
      </c>
      <c r="G35" s="28" t="s">
        <v>262</v>
      </c>
      <c r="H35" s="28" t="s">
        <v>263</v>
      </c>
    </row>
    <row r="36" spans="1:8">
      <c r="A36" s="15">
        <v>35</v>
      </c>
      <c r="B36" s="29" t="s">
        <v>264</v>
      </c>
      <c r="C36" s="29" t="s">
        <v>265</v>
      </c>
      <c r="D36" s="29" t="s">
        <v>266</v>
      </c>
      <c r="E36" s="29" t="s">
        <v>267</v>
      </c>
      <c r="F36" s="29" t="s">
        <v>268</v>
      </c>
      <c r="G36" s="29" t="s">
        <v>269</v>
      </c>
      <c r="H36" s="29" t="s">
        <v>270</v>
      </c>
    </row>
    <row r="37" spans="1:8">
      <c r="A37" s="16">
        <v>36</v>
      </c>
      <c r="B37" s="28" t="s">
        <v>271</v>
      </c>
      <c r="C37" s="28" t="s">
        <v>272</v>
      </c>
      <c r="D37" s="28" t="s">
        <v>273</v>
      </c>
      <c r="E37" s="28" t="s">
        <v>274</v>
      </c>
      <c r="F37" s="28" t="s">
        <v>275</v>
      </c>
      <c r="G37" s="28" t="s">
        <v>276</v>
      </c>
      <c r="H37" s="28" t="s">
        <v>277</v>
      </c>
    </row>
    <row r="38" spans="1:8">
      <c r="A38" s="15">
        <v>37</v>
      </c>
      <c r="B38" s="29" t="s">
        <v>278</v>
      </c>
      <c r="C38" s="29" t="s">
        <v>279</v>
      </c>
      <c r="D38" s="29" t="s">
        <v>280</v>
      </c>
      <c r="E38" s="29" t="s">
        <v>281</v>
      </c>
      <c r="F38" s="29" t="s">
        <v>282</v>
      </c>
      <c r="G38" s="29" t="s">
        <v>283</v>
      </c>
      <c r="H38" s="29" t="s">
        <v>284</v>
      </c>
    </row>
    <row r="39" spans="1:8">
      <c r="A39" s="16">
        <v>38</v>
      </c>
      <c r="B39" s="28" t="s">
        <v>285</v>
      </c>
      <c r="C39" s="28" t="s">
        <v>286</v>
      </c>
      <c r="D39" s="28" t="s">
        <v>287</v>
      </c>
      <c r="E39" s="28" t="s">
        <v>288</v>
      </c>
      <c r="F39" s="28" t="s">
        <v>289</v>
      </c>
      <c r="G39" s="28" t="s">
        <v>290</v>
      </c>
      <c r="H39" s="28" t="s">
        <v>291</v>
      </c>
    </row>
    <row r="40" spans="1:8">
      <c r="A40" s="15">
        <v>39</v>
      </c>
      <c r="B40" s="29" t="s">
        <v>292</v>
      </c>
      <c r="C40" s="29" t="s">
        <v>293</v>
      </c>
      <c r="D40" s="29" t="s">
        <v>294</v>
      </c>
      <c r="E40" s="29" t="s">
        <v>295</v>
      </c>
      <c r="F40" s="29" t="s">
        <v>296</v>
      </c>
      <c r="G40" s="29" t="s">
        <v>297</v>
      </c>
      <c r="H40" s="29" t="s">
        <v>298</v>
      </c>
    </row>
    <row r="41" spans="1:8">
      <c r="A41" s="16">
        <v>40</v>
      </c>
      <c r="B41" s="28" t="s">
        <v>299</v>
      </c>
      <c r="C41" s="28" t="s">
        <v>300</v>
      </c>
      <c r="D41" s="28" t="s">
        <v>301</v>
      </c>
      <c r="E41" s="28" t="s">
        <v>302</v>
      </c>
      <c r="F41" s="28" t="s">
        <v>303</v>
      </c>
      <c r="G41" s="28" t="s">
        <v>304</v>
      </c>
      <c r="H41" s="28" t="s">
        <v>305</v>
      </c>
    </row>
    <row r="42" spans="1:8">
      <c r="A42" s="15">
        <v>41</v>
      </c>
      <c r="B42" s="29" t="s">
        <v>306</v>
      </c>
      <c r="C42" s="29" t="s">
        <v>307</v>
      </c>
      <c r="D42" s="29" t="s">
        <v>308</v>
      </c>
      <c r="E42" s="29" t="s">
        <v>309</v>
      </c>
      <c r="F42" s="29" t="s">
        <v>310</v>
      </c>
      <c r="G42" s="29" t="s">
        <v>311</v>
      </c>
      <c r="H42" s="29" t="s">
        <v>312</v>
      </c>
    </row>
    <row r="43" spans="1:8">
      <c r="A43" s="16">
        <v>42</v>
      </c>
      <c r="B43" s="28" t="s">
        <v>313</v>
      </c>
      <c r="C43" s="28" t="s">
        <v>314</v>
      </c>
      <c r="D43" s="28" t="s">
        <v>12</v>
      </c>
      <c r="E43" s="28" t="s">
        <v>14</v>
      </c>
      <c r="F43" s="28" t="s">
        <v>16</v>
      </c>
      <c r="G43" s="28" t="s">
        <v>18</v>
      </c>
      <c r="H43" s="28" t="s">
        <v>20</v>
      </c>
    </row>
    <row r="44" spans="1:8">
      <c r="A44" s="15">
        <v>43</v>
      </c>
      <c r="B44" s="29" t="s">
        <v>22</v>
      </c>
      <c r="C44" s="29" t="s">
        <v>24</v>
      </c>
      <c r="D44" s="29" t="s">
        <v>315</v>
      </c>
      <c r="E44" s="29" t="s">
        <v>316</v>
      </c>
      <c r="F44" s="29" t="s">
        <v>317</v>
      </c>
      <c r="G44" s="29" t="s">
        <v>318</v>
      </c>
      <c r="H44" s="29" t="s">
        <v>319</v>
      </c>
    </row>
    <row r="45" spans="1:8">
      <c r="A45" s="16">
        <v>44</v>
      </c>
      <c r="B45" s="28" t="s">
        <v>320</v>
      </c>
      <c r="C45" s="28" t="s">
        <v>321</v>
      </c>
      <c r="D45" s="28" t="s">
        <v>322</v>
      </c>
      <c r="E45" s="28" t="s">
        <v>323</v>
      </c>
      <c r="F45" s="28" t="s">
        <v>324</v>
      </c>
      <c r="G45" s="28" t="s">
        <v>325</v>
      </c>
      <c r="H45" s="28" t="s">
        <v>326</v>
      </c>
    </row>
    <row r="46" spans="1:8">
      <c r="A46" s="15">
        <v>45</v>
      </c>
      <c r="B46" s="29" t="s">
        <v>327</v>
      </c>
      <c r="C46" s="29" t="s">
        <v>328</v>
      </c>
      <c r="D46" s="29" t="s">
        <v>329</v>
      </c>
      <c r="E46" s="29" t="s">
        <v>330</v>
      </c>
      <c r="F46" s="29" t="s">
        <v>331</v>
      </c>
      <c r="G46" s="29" t="s">
        <v>332</v>
      </c>
      <c r="H46" s="29" t="s">
        <v>333</v>
      </c>
    </row>
    <row r="47" spans="1:8">
      <c r="A47" s="16">
        <v>46</v>
      </c>
      <c r="B47" s="28" t="s">
        <v>334</v>
      </c>
      <c r="C47" s="28" t="s">
        <v>335</v>
      </c>
      <c r="D47" s="28" t="s">
        <v>336</v>
      </c>
      <c r="E47" s="28" t="s">
        <v>337</v>
      </c>
      <c r="F47" s="28" t="s">
        <v>338</v>
      </c>
      <c r="G47" s="28" t="s">
        <v>339</v>
      </c>
      <c r="H47" s="28" t="s">
        <v>340</v>
      </c>
    </row>
    <row r="48" spans="1:8">
      <c r="A48" s="15">
        <v>47</v>
      </c>
      <c r="B48" s="29" t="s">
        <v>341</v>
      </c>
      <c r="C48" s="29" t="s">
        <v>342</v>
      </c>
      <c r="D48" s="29" t="s">
        <v>343</v>
      </c>
      <c r="E48" s="29" t="s">
        <v>344</v>
      </c>
      <c r="F48" s="29" t="s">
        <v>345</v>
      </c>
      <c r="G48" s="29" t="s">
        <v>346</v>
      </c>
      <c r="H48" s="29" t="s">
        <v>347</v>
      </c>
    </row>
    <row r="49" spans="1:8">
      <c r="A49" s="16">
        <v>48</v>
      </c>
      <c r="B49" s="28" t="s">
        <v>348</v>
      </c>
      <c r="C49" s="28" t="s">
        <v>349</v>
      </c>
      <c r="D49" s="28" t="s">
        <v>350</v>
      </c>
      <c r="E49" s="28" t="s">
        <v>351</v>
      </c>
      <c r="F49" s="28" t="s">
        <v>352</v>
      </c>
      <c r="G49" s="28" t="s">
        <v>353</v>
      </c>
      <c r="H49" s="28" t="s">
        <v>354</v>
      </c>
    </row>
    <row r="50" spans="1:8">
      <c r="A50" s="15">
        <v>49</v>
      </c>
      <c r="B50" s="29" t="s">
        <v>355</v>
      </c>
      <c r="C50" s="29" t="s">
        <v>356</v>
      </c>
      <c r="D50" s="29" t="s">
        <v>357</v>
      </c>
      <c r="E50" s="29" t="s">
        <v>358</v>
      </c>
      <c r="F50" s="29" t="s">
        <v>359</v>
      </c>
      <c r="G50" s="29" t="s">
        <v>360</v>
      </c>
      <c r="H50" s="29" t="s">
        <v>361</v>
      </c>
    </row>
    <row r="51" spans="1:8">
      <c r="A51" s="16">
        <v>50</v>
      </c>
      <c r="B51" s="28" t="s">
        <v>362</v>
      </c>
      <c r="C51" s="28" t="s">
        <v>363</v>
      </c>
      <c r="D51" s="28" t="s">
        <v>364</v>
      </c>
      <c r="E51" s="28" t="s">
        <v>365</v>
      </c>
      <c r="F51" s="28" t="s">
        <v>366</v>
      </c>
      <c r="G51" s="28" t="s">
        <v>367</v>
      </c>
      <c r="H51" s="28" t="s">
        <v>368</v>
      </c>
    </row>
    <row r="52" spans="1:8">
      <c r="A52" s="15">
        <v>51</v>
      </c>
      <c r="B52" s="29" t="s">
        <v>369</v>
      </c>
      <c r="C52" s="29" t="s">
        <v>370</v>
      </c>
      <c r="D52" s="29" t="s">
        <v>371</v>
      </c>
      <c r="E52" s="29" t="s">
        <v>372</v>
      </c>
      <c r="F52" s="29" t="s">
        <v>373</v>
      </c>
      <c r="G52" s="29" t="s">
        <v>374</v>
      </c>
      <c r="H52" s="29" t="s">
        <v>375</v>
      </c>
    </row>
    <row r="53" spans="1:8">
      <c r="A53" s="16">
        <v>52</v>
      </c>
      <c r="B53" s="28" t="s">
        <v>376</v>
      </c>
      <c r="C53" s="28" t="s">
        <v>377</v>
      </c>
      <c r="D53" s="28" t="s">
        <v>378</v>
      </c>
      <c r="E53" s="28" t="s">
        <v>379</v>
      </c>
      <c r="F53" s="28" t="s">
        <v>380</v>
      </c>
      <c r="G53" s="28" t="s">
        <v>381</v>
      </c>
      <c r="H53" s="28" t="s">
        <v>382</v>
      </c>
    </row>
  </sheetData>
  <hyperlinks>
    <hyperlink ref="A2" r:id="rId1" display="https://www.aktuelle-kalenderwoche.org/kalenderwochen/2024/kw-1" xr:uid="{A44B528A-F518-42BA-9EA9-B20E371D5362}"/>
    <hyperlink ref="A3" r:id="rId2" display="https://www.aktuelle-kalenderwoche.org/kalenderwochen/2024/kw-2" xr:uid="{248CC55C-3FA0-424E-9E0E-C1BAEB7F4FB2}"/>
    <hyperlink ref="A4" r:id="rId3" display="https://www.aktuelle-kalenderwoche.org/kalenderwochen/2024/kw-3" xr:uid="{C56B3A1F-202A-471C-91BF-227E34A3677E}"/>
    <hyperlink ref="A5" r:id="rId4" display="https://www.aktuelle-kalenderwoche.org/kalenderwochen/2024/kw-4" xr:uid="{2589D311-702C-46DF-8E9E-709990E48EF2}"/>
    <hyperlink ref="A6" r:id="rId5" display="https://www.aktuelle-kalenderwoche.org/kalenderwochen/2024/kw-5" xr:uid="{69212A28-E1ED-405A-A761-DEED0C486BFD}"/>
    <hyperlink ref="A7" r:id="rId6" display="https://www.aktuelle-kalenderwoche.org/kalenderwochen/2024/kw-6" xr:uid="{9BE8BEE0-B9E4-40B2-9610-A121E041CBCE}"/>
    <hyperlink ref="A8" r:id="rId7" display="https://www.aktuelle-kalenderwoche.org/kalenderwochen/2024/kw-7" xr:uid="{2FD20353-CE29-4F80-A183-107FD392814B}"/>
    <hyperlink ref="A9" r:id="rId8" display="https://www.aktuelle-kalenderwoche.org/kalenderwochen/2024/kw-8" xr:uid="{5485A09F-A810-4E63-AD18-61D8A7B7ADC3}"/>
    <hyperlink ref="A10" r:id="rId9" display="https://www.aktuelle-kalenderwoche.org/kalenderwochen/2024/kw-9" xr:uid="{6D909CF1-2CED-47C0-A5E9-5FEA56C7DC67}"/>
    <hyperlink ref="A11" r:id="rId10" display="https://www.aktuelle-kalenderwoche.org/kalenderwochen/2024/kw-10" xr:uid="{FD5B379F-3BBB-485D-A632-33573D36EEC1}"/>
    <hyperlink ref="A12" r:id="rId11" display="https://www.aktuelle-kalenderwoche.org/kalenderwochen/2024/kw-11" xr:uid="{F4677B29-B918-4714-95B9-67F98B6F972C}"/>
    <hyperlink ref="A13" r:id="rId12" display="https://www.aktuelle-kalenderwoche.org/kalenderwochen/2024/kw-12" xr:uid="{D1606A9C-A7BC-466D-89BD-CDBE8F001F8B}"/>
    <hyperlink ref="A14" r:id="rId13" display="https://www.aktuelle-kalenderwoche.org/kalenderwochen/2024/kw-13" xr:uid="{FF230224-6F94-436D-8F82-2BEB91DBC73A}"/>
    <hyperlink ref="A15" r:id="rId14" display="https://www.aktuelle-kalenderwoche.org/kalenderwochen/2024/kw-14" xr:uid="{53ACCB22-FBB7-4E22-AC22-FF02A2DA1908}"/>
    <hyperlink ref="A16" r:id="rId15" display="https://www.aktuelle-kalenderwoche.org/kalenderwochen/2024/kw-15" xr:uid="{D5D4BFBD-26E1-41E2-AE94-D0B6AF8704B0}"/>
    <hyperlink ref="A17" r:id="rId16" display="https://www.aktuelle-kalenderwoche.org/kalenderwochen/2024/kw-16" xr:uid="{FB0243D0-6FEC-47C8-B487-5B0A795EE1B0}"/>
    <hyperlink ref="A18" r:id="rId17" display="https://www.aktuelle-kalenderwoche.org/kalenderwochen/2024/kw-17" xr:uid="{A412A12F-1FF8-4891-9A9C-1E59DAE838F0}"/>
    <hyperlink ref="A19" r:id="rId18" display="https://www.aktuelle-kalenderwoche.org/kalenderwochen/2024/kw-18" xr:uid="{E8C8AF6A-E0EC-47C1-94C4-13C6182F87E0}"/>
    <hyperlink ref="A20" r:id="rId19" display="https://www.aktuelle-kalenderwoche.org/kalenderwochen/2024/kw-19" xr:uid="{EF23BB0F-9651-42AC-B202-C5EA8B0E13AE}"/>
    <hyperlink ref="A21" r:id="rId20" display="https://www.aktuelle-kalenderwoche.org/kalenderwochen/2024/kw-20" xr:uid="{4DEFA825-F27C-49F2-92D8-CADCCAD65CCA}"/>
    <hyperlink ref="A22" r:id="rId21" display="https://www.aktuelle-kalenderwoche.org/kalenderwochen/2024/kw-21" xr:uid="{87D1ED35-DF2D-47C3-8021-465330A70F3B}"/>
    <hyperlink ref="A23" r:id="rId22" display="https://www.aktuelle-kalenderwoche.org/kalenderwochen/2024/kw-22" xr:uid="{CE83C8D5-43B8-4B51-A788-E5F31E7EBB29}"/>
    <hyperlink ref="A24" r:id="rId23" display="https://www.aktuelle-kalenderwoche.org/kalenderwochen/2024/kw-23" xr:uid="{C8D3095E-9578-4391-8E57-D0102CC2AF9F}"/>
    <hyperlink ref="A25" r:id="rId24" display="https://www.aktuelle-kalenderwoche.org/kalenderwochen/2024/kw-24" xr:uid="{CC0BEFD8-EAED-4609-9C5A-15C79012CDC3}"/>
    <hyperlink ref="A26" r:id="rId25" display="https://www.aktuelle-kalenderwoche.org/kalenderwochen/2024/kw-25" xr:uid="{7A1FF9AD-F2F3-4CD0-A50A-13FFA6F0E133}"/>
    <hyperlink ref="A27" r:id="rId26" display="https://www.aktuelle-kalenderwoche.org/kalenderwochen/2024/kw-26" xr:uid="{EA611FA7-D6E9-487E-82D3-C5F627991FE6}"/>
    <hyperlink ref="A28" r:id="rId27" display="https://www.aktuelle-kalenderwoche.org/kalenderwochen/2024/kw-27" xr:uid="{5036CF40-1560-4CB6-AC97-AB9C6A4180C4}"/>
    <hyperlink ref="A29" r:id="rId28" display="https://www.aktuelle-kalenderwoche.org/kalenderwochen/2024/kw-28" xr:uid="{BDCA81BE-3AD6-4D7F-8B85-35FC0395310C}"/>
    <hyperlink ref="A30" r:id="rId29" display="https://www.aktuelle-kalenderwoche.org/kalenderwochen/2024/kw-29" xr:uid="{C10CCA62-920A-44BC-8C27-D3D792F4A919}"/>
    <hyperlink ref="A31" r:id="rId30" display="https://www.aktuelle-kalenderwoche.org/kalenderwochen/2024/kw-30" xr:uid="{6767E50B-F421-46B3-A4C6-9ADC0041E8C2}"/>
    <hyperlink ref="A32" r:id="rId31" display="https://www.aktuelle-kalenderwoche.org/kalenderwochen/2024/kw-31" xr:uid="{A56D84ED-16C4-4112-9617-417EA601078E}"/>
    <hyperlink ref="A33" r:id="rId32" display="https://www.aktuelle-kalenderwoche.org/kalenderwochen/2024/kw-32" xr:uid="{79966A4E-D1EB-4AFA-901F-C4CA5CF25ABB}"/>
    <hyperlink ref="A34" r:id="rId33" display="https://www.aktuelle-kalenderwoche.org/kalenderwochen/2024/kw-33" xr:uid="{8346388F-AB24-4402-A699-35842B1A4D46}"/>
    <hyperlink ref="A35" r:id="rId34" display="https://www.aktuelle-kalenderwoche.org/kalenderwochen/2024/kw-34" xr:uid="{41F0F65D-1A42-4095-B671-C546AF34A5E4}"/>
    <hyperlink ref="A36" r:id="rId35" display="https://www.aktuelle-kalenderwoche.org/kalenderwochen/2024/kw-35" xr:uid="{F8C4E41A-0E39-4FDA-992E-B1899EE75C2E}"/>
    <hyperlink ref="A37" r:id="rId36" display="https://www.aktuelle-kalenderwoche.org/kalenderwochen/2024/kw-36" xr:uid="{B6342D90-057E-4325-AB94-7C8875628818}"/>
    <hyperlink ref="A38" r:id="rId37" display="https://www.aktuelle-kalenderwoche.org/kalenderwochen/2024/kw-37" xr:uid="{018EFF55-85D7-4FF8-A86C-1308948D1387}"/>
    <hyperlink ref="A39" r:id="rId38" display="https://www.aktuelle-kalenderwoche.org/kalenderwochen/2024/kw-38" xr:uid="{212DA742-22C3-4AAD-BD74-6938CDE5748D}"/>
    <hyperlink ref="A40" r:id="rId39" display="https://www.aktuelle-kalenderwoche.org/kalenderwochen/2024/kw-39" xr:uid="{85624B69-07C9-4595-B9B7-7604622575BE}"/>
    <hyperlink ref="A41" r:id="rId40" display="https://www.aktuelle-kalenderwoche.org/kalenderwochen/2024/kw-40" xr:uid="{B5B3529B-65B0-4E53-B603-A7675E942E2E}"/>
    <hyperlink ref="A42" r:id="rId41" display="https://www.aktuelle-kalenderwoche.org/kalenderwochen/2024/kw-41" xr:uid="{A7FB96CA-2A9E-4F81-B7B7-973D1F0D7DA9}"/>
    <hyperlink ref="A43" r:id="rId42" display="https://www.aktuelle-kalenderwoche.org/kalenderwochen/2024/kw-42" xr:uid="{344510F9-1D1F-465C-8786-53FF5E7A36C3}"/>
    <hyperlink ref="A44" r:id="rId43" display="https://www.aktuelle-kalenderwoche.org/kalenderwochen/2024/kw-43" xr:uid="{190923C9-A0BE-436E-B4F4-E5601EA0E32E}"/>
    <hyperlink ref="A45" r:id="rId44" display="https://www.aktuelle-kalenderwoche.org/kalenderwochen/2024/kw-44" xr:uid="{6DF891E5-973E-4B6F-B343-EA598321F87B}"/>
    <hyperlink ref="A46" r:id="rId45" display="https://www.aktuelle-kalenderwoche.org/kalenderwochen/2024/kw-45" xr:uid="{86693A08-862F-49B5-AF7F-B676874406BE}"/>
    <hyperlink ref="A47" r:id="rId46" display="https://www.aktuelle-kalenderwoche.org/kalenderwochen/2024/kw-46" xr:uid="{4581AC57-6132-46D7-95D4-8BC77CB5A895}"/>
    <hyperlink ref="A48" r:id="rId47" display="https://www.aktuelle-kalenderwoche.org/kalenderwochen/2024/kw-47" xr:uid="{11EA0F4D-CC26-4B4F-9136-6ADE4DA67A81}"/>
    <hyperlink ref="A49" r:id="rId48" display="https://www.aktuelle-kalenderwoche.org/kalenderwochen/2024/kw-48" xr:uid="{16C16B4C-800F-4669-A44A-C0B1878AB100}"/>
    <hyperlink ref="A50" r:id="rId49" display="https://www.aktuelle-kalenderwoche.org/kalenderwochen/2024/kw-49" xr:uid="{3A325FA5-5C92-4678-8B51-C8FFCC4F3CB0}"/>
    <hyperlink ref="A51" r:id="rId50" display="https://www.aktuelle-kalenderwoche.org/kalenderwochen/2024/kw-50" xr:uid="{04443B55-BBEE-4F58-A569-B7621A728C7C}"/>
    <hyperlink ref="A52" r:id="rId51" display="https://www.aktuelle-kalenderwoche.org/kalenderwochen/2024/kw-51" xr:uid="{D4029602-2B92-4A13-BBB2-52B5B552B7C4}"/>
    <hyperlink ref="A53" r:id="rId52" display="https://www.aktuelle-kalenderwoche.org/kalenderwochen/2024/kw-52" xr:uid="{0D9AACB1-B10B-46B2-9EC7-954DF4512BA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07A77-C076-4BBF-88F8-B51C235F8A21}">
  <sheetPr codeName="Sheet2"/>
  <dimension ref="A1:AV28"/>
  <sheetViews>
    <sheetView zoomScale="115" zoomScaleNormal="115" workbookViewId="0">
      <selection activeCell="D42" sqref="D42"/>
    </sheetView>
  </sheetViews>
  <sheetFormatPr defaultColWidth="10.90625" defaultRowHeight="14.5"/>
  <cols>
    <col min="1" max="1" width="6.36328125" bestFit="1" customWidth="1"/>
    <col min="2" max="2" width="6.1796875" bestFit="1" customWidth="1"/>
    <col min="3" max="3" width="6.08984375" style="2" bestFit="1" customWidth="1"/>
    <col min="4" max="4" width="7.36328125" customWidth="1"/>
    <col min="5" max="5" width="6.1796875" bestFit="1" customWidth="1"/>
    <col min="6" max="6" width="6.08984375" bestFit="1" customWidth="1"/>
    <col min="7" max="7" width="31.08984375" bestFit="1" customWidth="1"/>
    <col min="8" max="8" width="6.1796875" bestFit="1" customWidth="1"/>
    <col min="9" max="9" width="6.08984375" bestFit="1" customWidth="1"/>
    <col min="10" max="10" width="31.08984375" bestFit="1" customWidth="1"/>
    <col min="11" max="11" width="8" bestFit="1" customWidth="1"/>
    <col min="12" max="12" width="6.08984375" bestFit="1" customWidth="1"/>
    <col min="13" max="13" width="11.81640625" customWidth="1"/>
    <col min="14" max="14" width="6.1796875" bestFit="1" customWidth="1"/>
    <col min="15" max="15" width="6.08984375" bestFit="1" customWidth="1"/>
    <col min="16" max="16" width="17.6328125" bestFit="1" customWidth="1"/>
    <col min="17" max="17" width="6.1796875" bestFit="1" customWidth="1"/>
    <col min="18" max="18" width="6.08984375" bestFit="1" customWidth="1"/>
    <col min="19" max="19" width="17.6328125" bestFit="1" customWidth="1"/>
    <col min="20" max="20" width="6.1796875" bestFit="1" customWidth="1"/>
    <col min="21" max="21" width="6.08984375" bestFit="1" customWidth="1"/>
    <col min="22" max="22" width="12.6328125" bestFit="1" customWidth="1"/>
    <col min="23" max="23" width="7.1796875" bestFit="1" customWidth="1"/>
    <col min="25" max="25" width="39.36328125" bestFit="1" customWidth="1"/>
  </cols>
  <sheetData>
    <row r="1" spans="1:48" s="1" customFormat="1">
      <c r="A1" s="4" t="s">
        <v>27</v>
      </c>
      <c r="B1" s="4" t="s">
        <v>11</v>
      </c>
      <c r="C1" s="5"/>
      <c r="D1" s="4"/>
      <c r="E1" s="4" t="s">
        <v>13</v>
      </c>
      <c r="F1" s="4"/>
      <c r="G1" s="4"/>
      <c r="H1" s="4" t="s">
        <v>15</v>
      </c>
      <c r="I1" s="4"/>
      <c r="J1" s="4"/>
      <c r="K1" s="4" t="s">
        <v>17</v>
      </c>
      <c r="L1" s="4"/>
      <c r="M1" s="4"/>
      <c r="N1" s="4" t="s">
        <v>19</v>
      </c>
      <c r="O1" s="4"/>
      <c r="P1" s="4"/>
      <c r="Q1" s="4" t="s">
        <v>21</v>
      </c>
      <c r="R1" s="4"/>
      <c r="S1" s="4"/>
      <c r="T1" s="4" t="s">
        <v>23</v>
      </c>
      <c r="U1" s="4"/>
      <c r="V1" s="4"/>
    </row>
    <row r="2" spans="1:48" s="3" customFormat="1">
      <c r="A2" s="21">
        <v>1</v>
      </c>
      <c r="B2" s="6" t="str" cm="1">
        <f t="array" ref="B2">INDEX(KalenderWochen,$A$2,2)</f>
        <v>01.01.</v>
      </c>
      <c r="C2" s="5"/>
      <c r="D2" s="6"/>
      <c r="E2" s="6" t="str" cm="1">
        <f t="array" ref="E2">INDEX(KalenderWochen,$A$2,3)</f>
        <v>02.01.</v>
      </c>
      <c r="F2" s="6"/>
      <c r="G2" s="6"/>
      <c r="H2" s="6" t="str" cm="1">
        <f t="array" ref="H2">INDEX(KalenderWochen,$A$2,4)</f>
        <v>03.01.</v>
      </c>
      <c r="I2" s="6"/>
      <c r="J2" s="6"/>
      <c r="K2" s="6" t="str" cm="1">
        <f t="array" ref="K2">INDEX(KalenderWochen,$A$2,5)</f>
        <v>04.01.</v>
      </c>
      <c r="L2" s="6"/>
      <c r="M2" s="6"/>
      <c r="N2" s="6" t="str" cm="1">
        <f t="array" ref="N2">INDEX(KalenderWochen,$A$2,6)</f>
        <v>05.01.</v>
      </c>
      <c r="O2" s="6"/>
      <c r="P2" s="6"/>
      <c r="Q2" s="6" t="str" cm="1">
        <f t="array" ref="Q2">INDEX(KalenderWochen,$A$2,7)</f>
        <v>06.01.</v>
      </c>
      <c r="R2" s="6"/>
      <c r="S2" s="6"/>
      <c r="T2" s="6" t="str" cm="1">
        <f t="array" ref="T2">INDEX(KalenderWochen,$A$2,8)</f>
        <v>07.01.</v>
      </c>
      <c r="U2" s="6"/>
      <c r="V2" s="6"/>
      <c r="Y2"/>
      <c r="Z2" s="2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1" customFormat="1">
      <c r="A3" s="4"/>
      <c r="B3" s="4" t="s">
        <v>0</v>
      </c>
      <c r="C3" s="7" t="s">
        <v>1</v>
      </c>
      <c r="D3" s="4" t="s">
        <v>2</v>
      </c>
      <c r="E3" s="4" t="s">
        <v>0</v>
      </c>
      <c r="F3" s="4" t="s">
        <v>1</v>
      </c>
      <c r="G3" s="4" t="s">
        <v>2</v>
      </c>
      <c r="H3" s="4" t="s">
        <v>0</v>
      </c>
      <c r="I3" s="4" t="s">
        <v>1</v>
      </c>
      <c r="J3" s="4" t="s">
        <v>2</v>
      </c>
      <c r="K3" s="4" t="s">
        <v>0</v>
      </c>
      <c r="L3" s="4" t="s">
        <v>1</v>
      </c>
      <c r="M3" s="4" t="s">
        <v>2</v>
      </c>
      <c r="N3" s="4" t="s">
        <v>0</v>
      </c>
      <c r="O3" s="4" t="s">
        <v>1</v>
      </c>
      <c r="P3" s="4" t="s">
        <v>2</v>
      </c>
      <c r="Q3" s="4" t="s">
        <v>0</v>
      </c>
      <c r="R3" s="4" t="s">
        <v>1</v>
      </c>
      <c r="S3" s="4" t="s">
        <v>2</v>
      </c>
      <c r="T3" s="4" t="s">
        <v>0</v>
      </c>
      <c r="U3" s="4" t="s">
        <v>1</v>
      </c>
      <c r="V3" s="4" t="s">
        <v>2</v>
      </c>
      <c r="Y3"/>
    </row>
    <row r="4" spans="1:48">
      <c r="A4" s="12"/>
      <c r="B4" s="8"/>
      <c r="C4" s="10" t="str">
        <f>IF(ISBLANK(B5),"",(B5-B4))</f>
        <v/>
      </c>
      <c r="D4" s="9"/>
      <c r="E4" s="8"/>
      <c r="F4" s="10" t="str">
        <f>IF(ISBLANK(E5),"",(E5-E4))</f>
        <v/>
      </c>
      <c r="G4" s="9"/>
      <c r="H4" s="8"/>
      <c r="I4" s="10" t="str">
        <f>IF(ISBLANK(H5),"",(H5-H4))</f>
        <v/>
      </c>
      <c r="J4" s="9"/>
      <c r="K4" s="8"/>
      <c r="L4" s="10" t="str">
        <f>IF(ISBLANK(K5),"",(K5-K4))</f>
        <v/>
      </c>
      <c r="M4" s="9"/>
      <c r="N4" s="8"/>
      <c r="O4" s="10" t="str">
        <f>IF(ISBLANK(N5),"",(N5-N4))</f>
        <v/>
      </c>
      <c r="P4" s="9"/>
      <c r="Q4" s="8"/>
      <c r="R4" s="10" t="str">
        <f>IF(ISBLANK(Q5),"",(Q5-Q4))</f>
        <v/>
      </c>
      <c r="S4" s="9"/>
      <c r="T4" s="8"/>
      <c r="U4" s="10" t="str">
        <f>IF(ISBLANK(T5),"",(T5-T4))</f>
        <v/>
      </c>
      <c r="V4" s="9"/>
      <c r="Z4" s="24"/>
    </row>
    <row r="5" spans="1:48">
      <c r="A5" s="12"/>
      <c r="B5" s="8"/>
      <c r="C5" s="10" t="str">
        <f t="shared" ref="C5:C19" si="0">IF(ISBLANK(B6),"",(B6-B5))</f>
        <v/>
      </c>
      <c r="D5" s="9"/>
      <c r="E5" s="8"/>
      <c r="F5" s="10" t="str">
        <f t="shared" ref="F5:F19" si="1">IF(ISBLANK(E6),"",(E6-E5))</f>
        <v/>
      </c>
      <c r="G5" s="9"/>
      <c r="H5" s="8"/>
      <c r="I5" s="10" t="str">
        <f t="shared" ref="I5:I19" si="2">IF(ISBLANK(H6),"",(H6-H5))</f>
        <v/>
      </c>
      <c r="J5" s="9"/>
      <c r="K5" s="8"/>
      <c r="L5" s="10" t="str">
        <f t="shared" ref="L5:L19" si="3">IF(ISBLANK(K6),"",(K6-K5))</f>
        <v/>
      </c>
      <c r="M5" s="9"/>
      <c r="N5" s="8"/>
      <c r="O5" s="10" t="str">
        <f t="shared" ref="O5:O19" si="4">IF(ISBLANK(N6),"",(N6-N5))</f>
        <v/>
      </c>
      <c r="P5" s="9"/>
      <c r="Q5" s="8"/>
      <c r="R5" s="10" t="str">
        <f t="shared" ref="R5:R19" si="5">IF(ISBLANK(Q6),"",(Q6-Q5))</f>
        <v/>
      </c>
      <c r="S5" s="9"/>
      <c r="T5" s="8"/>
      <c r="U5" s="10" t="str">
        <f t="shared" ref="U5:U19" si="6">IF(ISBLANK(T6),"",(T6-T5))</f>
        <v/>
      </c>
      <c r="V5" s="9"/>
      <c r="Z5" s="24"/>
    </row>
    <row r="6" spans="1:48">
      <c r="A6" s="12"/>
      <c r="B6" s="8"/>
      <c r="C6" s="10" t="str">
        <f t="shared" si="0"/>
        <v/>
      </c>
      <c r="D6" s="9"/>
      <c r="E6" s="8"/>
      <c r="F6" s="10" t="str">
        <f t="shared" si="1"/>
        <v/>
      </c>
      <c r="G6" s="9"/>
      <c r="H6" s="8"/>
      <c r="I6" s="10" t="str">
        <f t="shared" si="2"/>
        <v/>
      </c>
      <c r="J6" s="9"/>
      <c r="K6" s="8"/>
      <c r="L6" s="10" t="str">
        <f t="shared" si="3"/>
        <v/>
      </c>
      <c r="M6" s="9"/>
      <c r="N6" s="8"/>
      <c r="O6" s="10" t="str">
        <f t="shared" si="4"/>
        <v/>
      </c>
      <c r="P6" s="9"/>
      <c r="Q6" s="8"/>
      <c r="R6" s="10" t="str">
        <f t="shared" si="5"/>
        <v/>
      </c>
      <c r="S6" s="9"/>
      <c r="T6" s="8"/>
      <c r="U6" s="10" t="str">
        <f t="shared" si="6"/>
        <v/>
      </c>
      <c r="V6" s="9"/>
      <c r="Z6" s="24"/>
    </row>
    <row r="7" spans="1:48">
      <c r="A7" s="12"/>
      <c r="B7" s="8"/>
      <c r="C7" s="10" t="str">
        <f t="shared" si="0"/>
        <v/>
      </c>
      <c r="D7" s="9"/>
      <c r="E7" s="8"/>
      <c r="F7" s="10" t="str">
        <f t="shared" si="1"/>
        <v/>
      </c>
      <c r="G7" s="9"/>
      <c r="H7" s="8"/>
      <c r="I7" s="10" t="str">
        <f t="shared" si="2"/>
        <v/>
      </c>
      <c r="J7" s="9"/>
      <c r="K7" s="8"/>
      <c r="L7" s="10" t="str">
        <f t="shared" si="3"/>
        <v/>
      </c>
      <c r="M7" s="9"/>
      <c r="N7" s="8"/>
      <c r="O7" s="10" t="str">
        <f t="shared" si="4"/>
        <v/>
      </c>
      <c r="P7" s="9"/>
      <c r="Q7" s="8"/>
      <c r="R7" s="10" t="str">
        <f t="shared" si="5"/>
        <v/>
      </c>
      <c r="S7" s="9"/>
      <c r="T7" s="8"/>
      <c r="U7" s="10" t="str">
        <f t="shared" si="6"/>
        <v/>
      </c>
      <c r="V7" s="9"/>
      <c r="Z7" s="24"/>
    </row>
    <row r="8" spans="1:48">
      <c r="A8" s="12"/>
      <c r="B8" s="8"/>
      <c r="C8" s="10" t="str">
        <f t="shared" si="0"/>
        <v/>
      </c>
      <c r="D8" s="9"/>
      <c r="E8" s="8"/>
      <c r="F8" s="10" t="str">
        <f t="shared" si="1"/>
        <v/>
      </c>
      <c r="G8" s="9"/>
      <c r="H8" s="8"/>
      <c r="I8" s="10" t="str">
        <f t="shared" si="2"/>
        <v/>
      </c>
      <c r="J8" s="9"/>
      <c r="K8" s="8"/>
      <c r="L8" s="10" t="str">
        <f t="shared" si="3"/>
        <v/>
      </c>
      <c r="M8" s="9"/>
      <c r="N8" s="8"/>
      <c r="O8" s="10" t="str">
        <f t="shared" si="4"/>
        <v/>
      </c>
      <c r="P8" s="9"/>
      <c r="Q8" s="8"/>
      <c r="R8" s="10" t="str">
        <f t="shared" si="5"/>
        <v/>
      </c>
      <c r="S8" s="9"/>
      <c r="T8" s="8"/>
      <c r="U8" s="10" t="str">
        <f t="shared" si="6"/>
        <v/>
      </c>
      <c r="V8" s="9"/>
      <c r="Z8" s="24"/>
    </row>
    <row r="9" spans="1:48">
      <c r="A9" s="12"/>
      <c r="B9" s="8"/>
      <c r="C9" s="10" t="str">
        <f t="shared" si="0"/>
        <v/>
      </c>
      <c r="D9" s="9"/>
      <c r="E9" s="8"/>
      <c r="F9" s="10" t="str">
        <f t="shared" si="1"/>
        <v/>
      </c>
      <c r="G9" s="9"/>
      <c r="H9" s="8"/>
      <c r="I9" s="10" t="str">
        <f t="shared" si="2"/>
        <v/>
      </c>
      <c r="J9" s="9"/>
      <c r="K9" s="8"/>
      <c r="L9" s="10" t="str">
        <f t="shared" si="3"/>
        <v/>
      </c>
      <c r="M9" s="9"/>
      <c r="N9" s="8"/>
      <c r="O9" s="10" t="str">
        <f t="shared" si="4"/>
        <v/>
      </c>
      <c r="P9" s="9"/>
      <c r="Q9" s="8"/>
      <c r="R9" s="10" t="str">
        <f t="shared" si="5"/>
        <v/>
      </c>
      <c r="S9" s="9"/>
      <c r="T9" s="8"/>
      <c r="U9" s="10" t="str">
        <f t="shared" si="6"/>
        <v/>
      </c>
      <c r="V9" s="9"/>
      <c r="Z9" s="24"/>
    </row>
    <row r="10" spans="1:48">
      <c r="A10" s="12"/>
      <c r="B10" s="8"/>
      <c r="C10" s="10" t="str">
        <f t="shared" si="0"/>
        <v/>
      </c>
      <c r="D10" s="9"/>
      <c r="E10" s="8"/>
      <c r="F10" s="10" t="str">
        <f t="shared" si="1"/>
        <v/>
      </c>
      <c r="G10" s="9"/>
      <c r="H10" s="8"/>
      <c r="I10" s="10" t="str">
        <f t="shared" si="2"/>
        <v/>
      </c>
      <c r="J10" s="9"/>
      <c r="K10" s="8"/>
      <c r="L10" s="10" t="str">
        <f t="shared" si="3"/>
        <v/>
      </c>
      <c r="M10" s="9"/>
      <c r="N10" s="8"/>
      <c r="O10" s="10" t="str">
        <f t="shared" si="4"/>
        <v/>
      </c>
      <c r="P10" s="9"/>
      <c r="Q10" s="8"/>
      <c r="R10" s="10" t="str">
        <f t="shared" si="5"/>
        <v/>
      </c>
      <c r="S10" s="9"/>
      <c r="T10" s="8"/>
      <c r="U10" s="10" t="str">
        <f t="shared" si="6"/>
        <v/>
      </c>
      <c r="V10" s="9"/>
      <c r="Z10" s="24"/>
    </row>
    <row r="11" spans="1:48">
      <c r="A11" s="12"/>
      <c r="B11" s="8"/>
      <c r="C11" s="10" t="str">
        <f t="shared" si="0"/>
        <v/>
      </c>
      <c r="D11" s="9"/>
      <c r="E11" s="8"/>
      <c r="F11" s="10" t="str">
        <f t="shared" si="1"/>
        <v/>
      </c>
      <c r="G11" s="9"/>
      <c r="H11" s="8"/>
      <c r="I11" s="10" t="str">
        <f t="shared" si="2"/>
        <v/>
      </c>
      <c r="J11" s="9"/>
      <c r="K11" s="8"/>
      <c r="L11" s="10" t="str">
        <f t="shared" si="3"/>
        <v/>
      </c>
      <c r="M11" s="9"/>
      <c r="N11" s="8"/>
      <c r="O11" s="10" t="str">
        <f t="shared" si="4"/>
        <v/>
      </c>
      <c r="P11" s="9"/>
      <c r="Q11" s="8"/>
      <c r="R11" s="10" t="str">
        <f t="shared" si="5"/>
        <v/>
      </c>
      <c r="S11" s="9"/>
      <c r="T11" s="8"/>
      <c r="U11" s="10" t="str">
        <f t="shared" si="6"/>
        <v/>
      </c>
      <c r="V11" s="9"/>
      <c r="Z11" s="24"/>
    </row>
    <row r="12" spans="1:48">
      <c r="A12" s="12"/>
      <c r="B12" s="8"/>
      <c r="C12" s="10" t="str">
        <f t="shared" si="0"/>
        <v/>
      </c>
      <c r="D12" s="9"/>
      <c r="E12" s="8"/>
      <c r="F12" s="10" t="str">
        <f t="shared" si="1"/>
        <v/>
      </c>
      <c r="G12" s="9"/>
      <c r="H12" s="8"/>
      <c r="I12" s="10" t="str">
        <f t="shared" si="2"/>
        <v/>
      </c>
      <c r="J12" s="9"/>
      <c r="K12" s="8"/>
      <c r="L12" s="10" t="str">
        <f t="shared" si="3"/>
        <v/>
      </c>
      <c r="M12" s="9"/>
      <c r="N12" s="8"/>
      <c r="O12" s="10" t="str">
        <f t="shared" si="4"/>
        <v/>
      </c>
      <c r="P12" s="9"/>
      <c r="Q12" s="8"/>
      <c r="R12" s="10" t="str">
        <f t="shared" si="5"/>
        <v/>
      </c>
      <c r="S12" s="9"/>
      <c r="T12" s="8"/>
      <c r="U12" s="10" t="str">
        <f t="shared" si="6"/>
        <v/>
      </c>
      <c r="V12" s="9"/>
      <c r="Z12" s="24"/>
    </row>
    <row r="13" spans="1:48">
      <c r="A13" s="12"/>
      <c r="B13" s="8"/>
      <c r="C13" s="10" t="str">
        <f t="shared" si="0"/>
        <v/>
      </c>
      <c r="D13" s="9"/>
      <c r="E13" s="8"/>
      <c r="F13" s="10" t="str">
        <f t="shared" si="1"/>
        <v/>
      </c>
      <c r="G13" s="9"/>
      <c r="H13" s="8"/>
      <c r="I13" s="10" t="str">
        <f t="shared" si="2"/>
        <v/>
      </c>
      <c r="J13" s="9"/>
      <c r="K13" s="8"/>
      <c r="L13" s="10" t="str">
        <f t="shared" si="3"/>
        <v/>
      </c>
      <c r="M13" s="9"/>
      <c r="N13" s="8"/>
      <c r="O13" s="10" t="str">
        <f t="shared" si="4"/>
        <v/>
      </c>
      <c r="P13" s="9"/>
      <c r="Q13" s="8"/>
      <c r="R13" s="10" t="str">
        <f t="shared" si="5"/>
        <v/>
      </c>
      <c r="S13" s="9"/>
      <c r="T13" s="8"/>
      <c r="U13" s="10" t="str">
        <f t="shared" si="6"/>
        <v/>
      </c>
      <c r="V13" s="9"/>
      <c r="Z13" s="24"/>
    </row>
    <row r="14" spans="1:48">
      <c r="A14" s="12"/>
      <c r="B14" s="8"/>
      <c r="C14" s="10" t="str">
        <f t="shared" si="0"/>
        <v/>
      </c>
      <c r="D14" s="9"/>
      <c r="E14" s="8"/>
      <c r="F14" s="10" t="str">
        <f t="shared" si="1"/>
        <v/>
      </c>
      <c r="G14" s="9"/>
      <c r="H14" s="8"/>
      <c r="I14" s="10" t="str">
        <f t="shared" si="2"/>
        <v/>
      </c>
      <c r="J14" s="9"/>
      <c r="K14" s="8"/>
      <c r="L14" s="10" t="str">
        <f t="shared" si="3"/>
        <v/>
      </c>
      <c r="M14" s="9"/>
      <c r="N14" s="8"/>
      <c r="O14" s="10" t="str">
        <f t="shared" si="4"/>
        <v/>
      </c>
      <c r="P14" s="9"/>
      <c r="Q14" s="8"/>
      <c r="R14" s="10" t="str">
        <f t="shared" si="5"/>
        <v/>
      </c>
      <c r="S14" s="9"/>
      <c r="T14" s="8"/>
      <c r="U14" s="10" t="str">
        <f t="shared" si="6"/>
        <v/>
      </c>
      <c r="V14" s="9"/>
      <c r="Z14" s="24"/>
    </row>
    <row r="15" spans="1:48">
      <c r="A15" s="12"/>
      <c r="B15" s="8"/>
      <c r="C15" s="10" t="str">
        <f t="shared" si="0"/>
        <v/>
      </c>
      <c r="D15" s="9"/>
      <c r="E15" s="8"/>
      <c r="F15" s="10" t="str">
        <f t="shared" si="1"/>
        <v/>
      </c>
      <c r="G15" s="9"/>
      <c r="H15" s="8"/>
      <c r="I15" s="10" t="str">
        <f t="shared" si="2"/>
        <v/>
      </c>
      <c r="J15" s="9"/>
      <c r="K15" s="8"/>
      <c r="L15" s="10" t="str">
        <f t="shared" si="3"/>
        <v/>
      </c>
      <c r="M15" s="9"/>
      <c r="N15" s="8"/>
      <c r="O15" s="10" t="str">
        <f t="shared" si="4"/>
        <v/>
      </c>
      <c r="P15" s="9"/>
      <c r="Q15" s="8"/>
      <c r="R15" s="10" t="str">
        <f t="shared" si="5"/>
        <v/>
      </c>
      <c r="S15" s="9"/>
      <c r="T15" s="8"/>
      <c r="U15" s="10" t="str">
        <f t="shared" si="6"/>
        <v/>
      </c>
      <c r="V15" s="9"/>
      <c r="Z15" s="24"/>
    </row>
    <row r="16" spans="1:48">
      <c r="A16" s="12"/>
      <c r="B16" s="8"/>
      <c r="C16" s="10" t="str">
        <f t="shared" si="0"/>
        <v/>
      </c>
      <c r="D16" s="9"/>
      <c r="E16" s="8"/>
      <c r="F16" s="10" t="str">
        <f t="shared" si="1"/>
        <v/>
      </c>
      <c r="G16" s="9"/>
      <c r="H16" s="8"/>
      <c r="I16" s="10" t="str">
        <f t="shared" si="2"/>
        <v/>
      </c>
      <c r="J16" s="9"/>
      <c r="K16" s="8"/>
      <c r="L16" s="10" t="str">
        <f t="shared" si="3"/>
        <v/>
      </c>
      <c r="M16" s="9"/>
      <c r="N16" s="8"/>
      <c r="O16" s="10" t="str">
        <f t="shared" si="4"/>
        <v/>
      </c>
      <c r="P16" s="9"/>
      <c r="Q16" s="8"/>
      <c r="R16" s="10" t="str">
        <f t="shared" si="5"/>
        <v/>
      </c>
      <c r="S16" s="9"/>
      <c r="T16" s="8"/>
      <c r="U16" s="10" t="str">
        <f t="shared" si="6"/>
        <v/>
      </c>
      <c r="V16" s="9"/>
      <c r="Z16" s="24"/>
    </row>
    <row r="17" spans="1:48">
      <c r="A17" s="12"/>
      <c r="B17" s="8"/>
      <c r="C17" s="10" t="str">
        <f t="shared" si="0"/>
        <v/>
      </c>
      <c r="D17" s="9"/>
      <c r="E17" s="8"/>
      <c r="F17" s="10" t="str">
        <f t="shared" si="1"/>
        <v/>
      </c>
      <c r="G17" s="9"/>
      <c r="H17" s="8"/>
      <c r="I17" s="10" t="str">
        <f t="shared" si="2"/>
        <v/>
      </c>
      <c r="J17" s="9"/>
      <c r="K17" s="8"/>
      <c r="L17" s="10" t="str">
        <f t="shared" si="3"/>
        <v/>
      </c>
      <c r="M17" s="9"/>
      <c r="N17" s="8"/>
      <c r="O17" s="10" t="str">
        <f t="shared" si="4"/>
        <v/>
      </c>
      <c r="P17" s="9"/>
      <c r="Q17" s="8"/>
      <c r="R17" s="10" t="str">
        <f t="shared" si="5"/>
        <v/>
      </c>
      <c r="S17" s="9"/>
      <c r="T17" s="8"/>
      <c r="U17" s="10" t="str">
        <f t="shared" si="6"/>
        <v/>
      </c>
      <c r="V17" s="9"/>
      <c r="Z17" s="24"/>
    </row>
    <row r="18" spans="1:48">
      <c r="A18" s="12"/>
      <c r="B18" s="8"/>
      <c r="C18" s="10" t="str">
        <f t="shared" si="0"/>
        <v/>
      </c>
      <c r="D18" s="9"/>
      <c r="E18" s="8"/>
      <c r="F18" s="10" t="str">
        <f t="shared" si="1"/>
        <v/>
      </c>
      <c r="G18" s="9"/>
      <c r="H18" s="8"/>
      <c r="I18" s="10" t="str">
        <f t="shared" si="2"/>
        <v/>
      </c>
      <c r="J18" s="9"/>
      <c r="K18" s="8"/>
      <c r="L18" s="10" t="str">
        <f t="shared" si="3"/>
        <v/>
      </c>
      <c r="M18" s="9"/>
      <c r="N18" s="8"/>
      <c r="O18" s="10" t="str">
        <f t="shared" si="4"/>
        <v/>
      </c>
      <c r="P18" s="9"/>
      <c r="Q18" s="8"/>
      <c r="R18" s="10" t="str">
        <f t="shared" si="5"/>
        <v/>
      </c>
      <c r="S18" s="9"/>
      <c r="T18" s="8"/>
      <c r="U18" s="10" t="str">
        <f t="shared" si="6"/>
        <v/>
      </c>
      <c r="V18" s="9"/>
      <c r="Z18" s="24"/>
    </row>
    <row r="19" spans="1:48">
      <c r="A19" s="12"/>
      <c r="B19" s="8"/>
      <c r="C19" s="10" t="str">
        <f t="shared" si="0"/>
        <v/>
      </c>
      <c r="D19" s="9"/>
      <c r="E19" s="8"/>
      <c r="F19" s="10" t="str">
        <f t="shared" si="1"/>
        <v/>
      </c>
      <c r="G19" s="9"/>
      <c r="H19" s="8"/>
      <c r="I19" s="10" t="str">
        <f t="shared" si="2"/>
        <v/>
      </c>
      <c r="J19" s="9"/>
      <c r="K19" s="8"/>
      <c r="L19" s="10" t="str">
        <f t="shared" si="3"/>
        <v/>
      </c>
      <c r="M19" s="9"/>
      <c r="N19" s="8"/>
      <c r="O19" s="10" t="str">
        <f t="shared" si="4"/>
        <v/>
      </c>
      <c r="P19" s="9"/>
      <c r="Q19" s="8"/>
      <c r="R19" s="10" t="str">
        <f t="shared" si="5"/>
        <v/>
      </c>
      <c r="S19" s="9"/>
      <c r="T19" s="8"/>
      <c r="U19" s="10" t="str">
        <f t="shared" si="6"/>
        <v/>
      </c>
      <c r="V19" s="9"/>
      <c r="Z19" s="24"/>
    </row>
    <row r="20" spans="1:48">
      <c r="A20" s="12"/>
      <c r="B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W20" t="s">
        <v>25</v>
      </c>
      <c r="Z20" s="24"/>
    </row>
    <row r="21" spans="1:48">
      <c r="A21" s="7" t="s">
        <v>5</v>
      </c>
      <c r="B21" s="19"/>
      <c r="C21" s="13">
        <v>0</v>
      </c>
      <c r="D21" s="13"/>
      <c r="E21" s="13"/>
      <c r="F21" s="13">
        <v>10</v>
      </c>
      <c r="G21" s="13"/>
      <c r="H21" s="13"/>
      <c r="I21" s="13">
        <v>8</v>
      </c>
      <c r="J21" s="13"/>
      <c r="K21" s="13"/>
      <c r="L21" s="13">
        <v>8</v>
      </c>
      <c r="M21" s="13"/>
      <c r="N21" s="13"/>
      <c r="O21" s="13">
        <v>8</v>
      </c>
      <c r="P21" s="13"/>
      <c r="Q21" s="13"/>
      <c r="R21" s="13">
        <v>2</v>
      </c>
      <c r="S21" s="13"/>
      <c r="T21" s="13"/>
      <c r="U21" s="13">
        <f>IF(AND((COUNTIF(V4:V19,"Krank")=0),COUNTIF(V4:V19,"Feiertag")=0),5,0)</f>
        <v>5</v>
      </c>
      <c r="V21" s="19"/>
      <c r="W21" s="13">
        <f>SUM(C21:V21)</f>
        <v>41</v>
      </c>
      <c r="Z21" s="24"/>
    </row>
    <row r="22" spans="1:48" s="2" customFormat="1">
      <c r="A22" s="7" t="s">
        <v>26</v>
      </c>
      <c r="B22" s="13"/>
      <c r="C22" s="13" cm="1">
        <f t="array" ref="C22">SG_SUMHOURS(C4:C19,D4:D19)</f>
        <v>0</v>
      </c>
      <c r="D22" s="19"/>
      <c r="E22" s="13"/>
      <c r="F22" s="13" cm="1">
        <f t="array" ref="F22">SG_SUMHOURS(F4:F19,G4:G19)</f>
        <v>0</v>
      </c>
      <c r="G22" s="13"/>
      <c r="H22" s="13"/>
      <c r="I22" s="13" cm="1">
        <f t="array" ref="I22">SG_SUMHOURS(I4:I19,J4:J19)</f>
        <v>0</v>
      </c>
      <c r="J22" s="13"/>
      <c r="K22" s="13"/>
      <c r="L22" s="13" cm="1">
        <f t="array" ref="L22">SG_SUMHOURS(L4:L19,M4:M19)</f>
        <v>0</v>
      </c>
      <c r="M22" s="13"/>
      <c r="N22" s="13"/>
      <c r="O22" s="13" cm="1">
        <f t="array" ref="O22">SG_SUMHOURS(O4:O19,P4:P19)</f>
        <v>0</v>
      </c>
      <c r="P22" s="13"/>
      <c r="Q22" s="13"/>
      <c r="R22" s="13" cm="1">
        <f t="array" ref="R22">SG_SUMHOURS(R4:R19,S4:S19)</f>
        <v>0</v>
      </c>
      <c r="S22" s="13"/>
      <c r="T22" s="13"/>
      <c r="U22" s="13" cm="1">
        <f t="array" ref="U22">SG_SUMHOURS(U4:U19,V4:V19)</f>
        <v>0</v>
      </c>
      <c r="V22" s="13"/>
      <c r="W22" s="20">
        <f>SUM(C22:V22)</f>
        <v>0</v>
      </c>
      <c r="Z22" s="24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4"/>
      <c r="B23" s="14"/>
      <c r="V23" s="4" t="s">
        <v>389</v>
      </c>
      <c r="W23" s="13">
        <f>W22-W21</f>
        <v>-41</v>
      </c>
      <c r="Z23" s="24"/>
    </row>
    <row r="24" spans="1:48" s="1" customFormat="1">
      <c r="C24" s="11"/>
      <c r="V24" s="4" t="s">
        <v>386</v>
      </c>
      <c r="W24" s="22">
        <v>0</v>
      </c>
      <c r="Y24"/>
      <c r="Z24" s="24"/>
    </row>
    <row r="25" spans="1:48">
      <c r="V25" s="4" t="s">
        <v>387</v>
      </c>
      <c r="W25" s="20">
        <f>SUM(W23:W24)</f>
        <v>-41</v>
      </c>
      <c r="Z25" s="24"/>
    </row>
    <row r="26" spans="1:48">
      <c r="J26" s="23"/>
      <c r="Z26" s="24"/>
    </row>
    <row r="27" spans="1:48">
      <c r="Z27" s="24"/>
    </row>
    <row r="28" spans="1:48">
      <c r="Z28" s="24"/>
    </row>
  </sheetData>
  <dataValidations count="1">
    <dataValidation type="list" allowBlank="1" showInputMessage="1" showErrorMessage="1" sqref="V4:V19 G4:G19 J4:J19 M4:M19 P4:P19 S4:S19 D4:D19" xr:uid="{C020188A-594B-47A2-BE7C-05CFCCE6FC65}">
      <formula1>Tätigkeiten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1E6D8-E6BA-4AB5-ADC6-97612A5E0F72}">
  <sheetPr codeName="Sheet3"/>
  <dimension ref="A1:AV28"/>
  <sheetViews>
    <sheetView zoomScale="85" zoomScaleNormal="85" workbookViewId="0">
      <selection activeCell="I22" sqref="I22"/>
    </sheetView>
  </sheetViews>
  <sheetFormatPr defaultColWidth="10.90625" defaultRowHeight="14.5"/>
  <cols>
    <col min="1" max="1" width="6.36328125" bestFit="1" customWidth="1"/>
    <col min="2" max="2" width="6.1796875" bestFit="1" customWidth="1"/>
    <col min="3" max="3" width="6.08984375" style="2" bestFit="1" customWidth="1"/>
    <col min="4" max="4" width="8.81640625" customWidth="1"/>
    <col min="5" max="5" width="6.1796875" bestFit="1" customWidth="1"/>
    <col min="6" max="6" width="6.08984375" bestFit="1" customWidth="1"/>
    <col min="7" max="7" width="31.08984375" bestFit="1" customWidth="1"/>
    <col min="8" max="8" width="6.1796875" bestFit="1" customWidth="1"/>
    <col min="9" max="9" width="6.08984375" bestFit="1" customWidth="1"/>
    <col min="10" max="10" width="31.08984375" bestFit="1" customWidth="1"/>
    <col min="11" max="11" width="8" bestFit="1" customWidth="1"/>
    <col min="12" max="12" width="6.08984375" bestFit="1" customWidth="1"/>
    <col min="13" max="13" width="34.54296875" customWidth="1"/>
    <col min="14" max="14" width="6.1796875" bestFit="1" customWidth="1"/>
    <col min="15" max="15" width="6.08984375" bestFit="1" customWidth="1"/>
    <col min="16" max="16" width="27" customWidth="1"/>
    <col min="17" max="17" width="6.1796875" bestFit="1" customWidth="1"/>
    <col min="18" max="18" width="6.08984375" bestFit="1" customWidth="1"/>
    <col min="19" max="19" width="17.6328125" bestFit="1" customWidth="1"/>
    <col min="20" max="20" width="6.1796875" bestFit="1" customWidth="1"/>
    <col min="21" max="21" width="6.08984375" bestFit="1" customWidth="1"/>
    <col min="22" max="22" width="12.6328125" bestFit="1" customWidth="1"/>
    <col min="23" max="23" width="7.1796875" bestFit="1" customWidth="1"/>
    <col min="25" max="25" width="39.36328125" bestFit="1" customWidth="1"/>
  </cols>
  <sheetData>
    <row r="1" spans="1:48" s="1" customFormat="1">
      <c r="A1" s="4" t="s">
        <v>27</v>
      </c>
      <c r="B1" s="4" t="s">
        <v>11</v>
      </c>
      <c r="C1" s="5"/>
      <c r="D1" s="4"/>
      <c r="E1" s="4" t="s">
        <v>13</v>
      </c>
      <c r="F1" s="4"/>
      <c r="G1" s="4"/>
      <c r="H1" s="4" t="s">
        <v>15</v>
      </c>
      <c r="I1" s="4"/>
      <c r="J1" s="4"/>
      <c r="K1" s="4" t="s">
        <v>17</v>
      </c>
      <c r="L1" s="4"/>
      <c r="M1" s="4"/>
      <c r="N1" s="4" t="s">
        <v>19</v>
      </c>
      <c r="O1" s="4"/>
      <c r="P1" s="4"/>
      <c r="Q1" s="4" t="s">
        <v>21</v>
      </c>
      <c r="R1" s="4"/>
      <c r="S1" s="4"/>
      <c r="T1" s="4" t="s">
        <v>23</v>
      </c>
      <c r="U1" s="4"/>
      <c r="V1" s="4"/>
    </row>
    <row r="2" spans="1:48" s="3" customFormat="1">
      <c r="A2" s="21">
        <v>1</v>
      </c>
      <c r="B2" s="6" t="str" cm="1">
        <f t="array" ref="B2">INDEX(KalenderWochen,$A$2,2)</f>
        <v>01.01.</v>
      </c>
      <c r="C2" s="5"/>
      <c r="D2" s="6"/>
      <c r="E2" s="6" t="str" cm="1">
        <f t="array" ref="E2">INDEX(KalenderWochen,$A$2,3)</f>
        <v>02.01.</v>
      </c>
      <c r="F2" s="6"/>
      <c r="G2" s="6"/>
      <c r="H2" s="6" t="str" cm="1">
        <f t="array" ref="H2">INDEX(KalenderWochen,$A$2,4)</f>
        <v>03.01.</v>
      </c>
      <c r="I2" s="6"/>
      <c r="J2" s="6"/>
      <c r="K2" s="6" t="str" cm="1">
        <f t="array" ref="K2">INDEX(KalenderWochen,$A$2,5)</f>
        <v>04.01.</v>
      </c>
      <c r="L2" s="6"/>
      <c r="M2" s="6"/>
      <c r="N2" s="6" t="str" cm="1">
        <f t="array" ref="N2">INDEX(KalenderWochen,$A$2,6)</f>
        <v>05.01.</v>
      </c>
      <c r="O2" s="6"/>
      <c r="P2" s="6"/>
      <c r="Q2" s="6" t="str" cm="1">
        <f t="array" ref="Q2">INDEX(KalenderWochen,$A$2,7)</f>
        <v>06.01.</v>
      </c>
      <c r="R2" s="6"/>
      <c r="S2" s="6"/>
      <c r="T2" s="6" t="str" cm="1">
        <f t="array" ref="T2">INDEX(KalenderWochen,$A$2,8)</f>
        <v>07.01.</v>
      </c>
      <c r="U2" s="6"/>
      <c r="V2" s="6"/>
      <c r="Y2"/>
      <c r="Z2" s="2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1" customFormat="1">
      <c r="A3" s="4"/>
      <c r="B3" s="4" t="s">
        <v>0</v>
      </c>
      <c r="C3" s="7" t="s">
        <v>1</v>
      </c>
      <c r="D3" s="4" t="s">
        <v>2</v>
      </c>
      <c r="E3" s="4" t="s">
        <v>0</v>
      </c>
      <c r="F3" s="4" t="s">
        <v>1</v>
      </c>
      <c r="G3" s="4" t="s">
        <v>2</v>
      </c>
      <c r="H3" s="4" t="s">
        <v>0</v>
      </c>
      <c r="I3" s="4" t="s">
        <v>1</v>
      </c>
      <c r="J3" s="4" t="s">
        <v>2</v>
      </c>
      <c r="K3" s="4" t="s">
        <v>0</v>
      </c>
      <c r="L3" s="4" t="s">
        <v>1</v>
      </c>
      <c r="M3" s="4" t="s">
        <v>2</v>
      </c>
      <c r="N3" s="4" t="s">
        <v>0</v>
      </c>
      <c r="O3" s="4" t="s">
        <v>1</v>
      </c>
      <c r="P3" s="4" t="s">
        <v>2</v>
      </c>
      <c r="Q3" s="4" t="s">
        <v>0</v>
      </c>
      <c r="R3" s="4" t="s">
        <v>1</v>
      </c>
      <c r="S3" s="4" t="s">
        <v>2</v>
      </c>
      <c r="T3" s="4" t="s">
        <v>0</v>
      </c>
      <c r="U3" s="4" t="s">
        <v>1</v>
      </c>
      <c r="V3" s="4" t="s">
        <v>2</v>
      </c>
      <c r="Y3"/>
    </row>
    <row r="4" spans="1:48">
      <c r="A4" s="12"/>
      <c r="B4" s="8"/>
      <c r="C4" s="10" t="str">
        <f>IF(ISBLANK(B5),"",(B5-B4))</f>
        <v/>
      </c>
      <c r="D4" s="9"/>
      <c r="E4" s="8">
        <v>0.33333333333333331</v>
      </c>
      <c r="F4" s="10">
        <f>IF(ISBLANK(E5),"",(E5-E4))</f>
        <v>2.083333333333337E-2</v>
      </c>
      <c r="G4" s="9" t="s">
        <v>411</v>
      </c>
      <c r="H4" s="8">
        <v>0.33333333333333331</v>
      </c>
      <c r="I4" s="10">
        <f>IF(ISBLANK(H5),"",(H5-H4))</f>
        <v>2.083333333333337E-2</v>
      </c>
      <c r="J4" s="9" t="s">
        <v>433</v>
      </c>
      <c r="K4" s="8">
        <v>0.33333333333333331</v>
      </c>
      <c r="L4" s="10">
        <f>IF(ISBLANK(K5),"",(K5-K4))</f>
        <v>2.083333333333337E-2</v>
      </c>
      <c r="M4" s="8" t="s">
        <v>433</v>
      </c>
      <c r="N4" s="8">
        <v>0.3263888888888889</v>
      </c>
      <c r="O4" s="10">
        <f>IF(ISBLANK(N5),"",(N5-N4))</f>
        <v>2.777777777777779E-2</v>
      </c>
      <c r="P4" s="9" t="s">
        <v>433</v>
      </c>
      <c r="Q4" s="8">
        <v>0.54166666666666663</v>
      </c>
      <c r="R4" s="10">
        <f>IF(ISBLANK(Q5),"",(Q5-Q4))</f>
        <v>0.10416666666666674</v>
      </c>
      <c r="S4" s="9" t="s">
        <v>438</v>
      </c>
      <c r="T4" s="8"/>
      <c r="U4" s="10" t="str">
        <f>IF(ISBLANK(T5),"",(T5-T4))</f>
        <v/>
      </c>
      <c r="V4" s="9"/>
      <c r="Z4" s="24"/>
    </row>
    <row r="5" spans="1:48">
      <c r="A5" s="12"/>
      <c r="B5" s="8"/>
      <c r="C5" s="10" t="str">
        <f t="shared" ref="C5:C19" si="0">IF(ISBLANK(B6),"",(B6-B5))</f>
        <v/>
      </c>
      <c r="D5" s="9"/>
      <c r="E5" s="8">
        <v>0.35416666666666669</v>
      </c>
      <c r="F5" s="10">
        <f t="shared" ref="F5:F19" si="1">IF(ISBLANK(E6),"",(E6-E5))</f>
        <v>2.0833333333333315E-2</v>
      </c>
      <c r="G5" s="9" t="s">
        <v>433</v>
      </c>
      <c r="H5" s="8">
        <v>0.35416666666666669</v>
      </c>
      <c r="I5" s="10">
        <f t="shared" ref="I5:I19" si="2">IF(ISBLANK(H6),"",(H6-H5))</f>
        <v>6.25E-2</v>
      </c>
      <c r="J5" s="9" t="s">
        <v>444</v>
      </c>
      <c r="K5" s="8">
        <v>0.35416666666666669</v>
      </c>
      <c r="L5" s="10">
        <f t="shared" ref="L5:L19" si="3">IF(ISBLANK(K6),"",(K6-K5))</f>
        <v>6.25E-2</v>
      </c>
      <c r="M5" s="9" t="s">
        <v>438</v>
      </c>
      <c r="N5" s="8">
        <v>0.35416666666666669</v>
      </c>
      <c r="O5" s="10">
        <f t="shared" ref="O5:O19" si="4">IF(ISBLANK(N6),"",(N6-N5))</f>
        <v>6.25E-2</v>
      </c>
      <c r="P5" s="9" t="s">
        <v>421</v>
      </c>
      <c r="Q5" s="8">
        <v>0.64583333333333337</v>
      </c>
      <c r="R5" s="10">
        <f t="shared" ref="R5:R19" si="5">IF(ISBLANK(Q6),"",(Q6-Q5))</f>
        <v>2.0833333333333259E-2</v>
      </c>
      <c r="S5" s="9" t="s">
        <v>3</v>
      </c>
      <c r="T5" s="8"/>
      <c r="U5" s="10" t="str">
        <f t="shared" ref="U5:U19" si="6">IF(ISBLANK(T6),"",(T6-T5))</f>
        <v/>
      </c>
      <c r="V5" s="9"/>
      <c r="Z5" s="24"/>
    </row>
    <row r="6" spans="1:48">
      <c r="A6" s="12"/>
      <c r="B6" s="8"/>
      <c r="C6" s="10" t="str">
        <f t="shared" si="0"/>
        <v/>
      </c>
      <c r="D6" s="9"/>
      <c r="E6" s="8">
        <v>0.375</v>
      </c>
      <c r="F6" s="10">
        <f t="shared" si="1"/>
        <v>2.0833333333333315E-2</v>
      </c>
      <c r="G6" s="9" t="s">
        <v>444</v>
      </c>
      <c r="H6" s="8">
        <v>0.41666666666666669</v>
      </c>
      <c r="I6" s="10">
        <f t="shared" si="2"/>
        <v>4.166666666666663E-2</v>
      </c>
      <c r="J6" s="9" t="s">
        <v>418</v>
      </c>
      <c r="K6" s="8">
        <v>0.41666666666666669</v>
      </c>
      <c r="L6" s="10">
        <f t="shared" si="3"/>
        <v>2.0833333333333315E-2</v>
      </c>
      <c r="M6" s="9" t="s">
        <v>3</v>
      </c>
      <c r="N6" s="8">
        <v>0.41666666666666669</v>
      </c>
      <c r="O6" s="10">
        <f t="shared" si="4"/>
        <v>4.166666666666663E-2</v>
      </c>
      <c r="P6" s="9" t="s">
        <v>406</v>
      </c>
      <c r="Q6" s="8">
        <v>0.66666666666666663</v>
      </c>
      <c r="R6" s="10">
        <f t="shared" si="5"/>
        <v>0.16666666666666674</v>
      </c>
      <c r="S6" s="9"/>
      <c r="T6" s="8"/>
      <c r="U6" s="10" t="str">
        <f t="shared" si="6"/>
        <v/>
      </c>
      <c r="V6" s="9"/>
      <c r="Z6" s="24"/>
    </row>
    <row r="7" spans="1:48">
      <c r="A7" s="12"/>
      <c r="B7" s="8"/>
      <c r="C7" s="10" t="str">
        <f t="shared" si="0"/>
        <v/>
      </c>
      <c r="D7" s="9"/>
      <c r="E7" s="8">
        <v>0.39583333333333331</v>
      </c>
      <c r="F7" s="10">
        <f t="shared" si="1"/>
        <v>8.333333333333337E-2</v>
      </c>
      <c r="G7" s="9" t="s">
        <v>418</v>
      </c>
      <c r="H7" s="8">
        <v>0.45833333333333331</v>
      </c>
      <c r="I7" s="10">
        <f t="shared" si="2"/>
        <v>2.083333333333337E-2</v>
      </c>
      <c r="J7" s="9" t="s">
        <v>440</v>
      </c>
      <c r="K7" s="8">
        <v>0.4375</v>
      </c>
      <c r="L7" s="10">
        <f t="shared" si="3"/>
        <v>9.375E-2</v>
      </c>
      <c r="M7" s="9" t="s">
        <v>420</v>
      </c>
      <c r="N7" s="8">
        <v>0.45833333333333331</v>
      </c>
      <c r="O7" s="10">
        <f t="shared" si="4"/>
        <v>6.2500000000000056E-2</v>
      </c>
      <c r="P7" s="9" t="s">
        <v>448</v>
      </c>
      <c r="Q7" s="8">
        <v>0.83333333333333337</v>
      </c>
      <c r="R7" s="10" t="str">
        <f t="shared" si="5"/>
        <v/>
      </c>
      <c r="S7" s="9"/>
      <c r="T7" s="8"/>
      <c r="U7" s="10" t="str">
        <f t="shared" si="6"/>
        <v/>
      </c>
      <c r="V7" s="9"/>
      <c r="Z7" s="24"/>
    </row>
    <row r="8" spans="1:48">
      <c r="A8" s="12"/>
      <c r="B8" s="8"/>
      <c r="C8" s="10" t="str">
        <f t="shared" si="0"/>
        <v/>
      </c>
      <c r="D8" s="9"/>
      <c r="E8" s="8">
        <v>0.47916666666666669</v>
      </c>
      <c r="F8" s="10">
        <f t="shared" si="1"/>
        <v>2.0833333333333315E-2</v>
      </c>
      <c r="G8" s="9" t="s">
        <v>3</v>
      </c>
      <c r="H8" s="8">
        <v>0.47916666666666669</v>
      </c>
      <c r="I8" s="10">
        <f t="shared" si="2"/>
        <v>4.1666666666666685E-2</v>
      </c>
      <c r="J8" s="9" t="s">
        <v>3</v>
      </c>
      <c r="K8" s="8">
        <v>0.53125</v>
      </c>
      <c r="L8" s="10">
        <f t="shared" si="3"/>
        <v>3.125E-2</v>
      </c>
      <c r="M8" s="9" t="s">
        <v>3</v>
      </c>
      <c r="N8" s="8">
        <v>0.52083333333333337</v>
      </c>
      <c r="O8" s="10">
        <f t="shared" si="4"/>
        <v>4.166666666666663E-2</v>
      </c>
      <c r="P8" s="9" t="s">
        <v>3</v>
      </c>
      <c r="Q8" s="8"/>
      <c r="R8" s="10" t="str">
        <f t="shared" si="5"/>
        <v/>
      </c>
      <c r="S8" s="9"/>
      <c r="T8" s="8"/>
      <c r="U8" s="10" t="str">
        <f t="shared" si="6"/>
        <v/>
      </c>
      <c r="V8" s="9"/>
      <c r="Z8" s="24"/>
    </row>
    <row r="9" spans="1:48">
      <c r="A9" s="12"/>
      <c r="B9" s="8"/>
      <c r="C9" s="10" t="str">
        <f t="shared" si="0"/>
        <v/>
      </c>
      <c r="D9" s="9"/>
      <c r="E9" s="8">
        <v>0.5</v>
      </c>
      <c r="F9" s="10">
        <f t="shared" si="1"/>
        <v>4.166666666666663E-2</v>
      </c>
      <c r="G9" s="9" t="s">
        <v>426</v>
      </c>
      <c r="H9" s="8">
        <v>0.52083333333333337</v>
      </c>
      <c r="I9" s="10">
        <f t="shared" si="2"/>
        <v>0.14583333333333326</v>
      </c>
      <c r="J9" s="9" t="s">
        <v>444</v>
      </c>
      <c r="K9" s="8">
        <v>0.5625</v>
      </c>
      <c r="L9" s="10">
        <f t="shared" si="3"/>
        <v>7.6388888888888951E-2</v>
      </c>
      <c r="M9" s="9" t="s">
        <v>418</v>
      </c>
      <c r="N9" s="8">
        <v>0.5625</v>
      </c>
      <c r="O9" s="10">
        <f t="shared" si="4"/>
        <v>0.10416666666666663</v>
      </c>
      <c r="P9" s="9" t="s">
        <v>438</v>
      </c>
      <c r="Q9" s="8"/>
      <c r="R9" s="10" t="str">
        <f t="shared" si="5"/>
        <v/>
      </c>
      <c r="S9" s="9"/>
      <c r="T9" s="8"/>
      <c r="U9" s="10" t="str">
        <f t="shared" si="6"/>
        <v/>
      </c>
      <c r="V9" s="9"/>
      <c r="Z9" s="24"/>
    </row>
    <row r="10" spans="1:48">
      <c r="A10" s="12"/>
      <c r="B10" s="8"/>
      <c r="C10" s="10" t="str">
        <f t="shared" si="0"/>
        <v/>
      </c>
      <c r="D10" s="9"/>
      <c r="E10" s="8">
        <v>0.54166666666666663</v>
      </c>
      <c r="F10" s="10">
        <f t="shared" si="1"/>
        <v>4.1666666666666741E-2</v>
      </c>
      <c r="G10" s="9" t="s">
        <v>3</v>
      </c>
      <c r="H10" s="8">
        <v>0.66666666666666663</v>
      </c>
      <c r="I10" s="10" t="str">
        <f t="shared" si="2"/>
        <v/>
      </c>
      <c r="J10" s="9"/>
      <c r="K10" s="8">
        <v>0.63888888888888895</v>
      </c>
      <c r="L10" s="10">
        <f t="shared" si="3"/>
        <v>1.388888888888884E-2</v>
      </c>
      <c r="M10" s="9" t="s">
        <v>3</v>
      </c>
      <c r="N10" s="8">
        <v>0.66666666666666663</v>
      </c>
      <c r="O10" s="10">
        <f t="shared" si="4"/>
        <v>0.10416666666666674</v>
      </c>
      <c r="P10" s="9" t="s">
        <v>3</v>
      </c>
      <c r="Q10" s="8"/>
      <c r="R10" s="10" t="str">
        <f t="shared" si="5"/>
        <v/>
      </c>
      <c r="S10" s="9"/>
      <c r="T10" s="8"/>
      <c r="U10" s="10" t="str">
        <f t="shared" si="6"/>
        <v/>
      </c>
      <c r="V10" s="9"/>
      <c r="Z10" s="24"/>
    </row>
    <row r="11" spans="1:48">
      <c r="A11" s="12"/>
      <c r="B11" s="8"/>
      <c r="C11" s="10" t="str">
        <f t="shared" si="0"/>
        <v/>
      </c>
      <c r="D11" s="9"/>
      <c r="E11" s="8">
        <v>0.58333333333333337</v>
      </c>
      <c r="F11" s="10">
        <f t="shared" si="1"/>
        <v>9.375E-2</v>
      </c>
      <c r="G11" s="9" t="s">
        <v>448</v>
      </c>
      <c r="H11" s="8"/>
      <c r="I11" s="10" t="str">
        <f t="shared" si="2"/>
        <v/>
      </c>
      <c r="J11" s="9"/>
      <c r="K11" s="8">
        <v>0.65277777777777779</v>
      </c>
      <c r="L11" s="10">
        <f t="shared" si="3"/>
        <v>2.7777777777777679E-2</v>
      </c>
      <c r="M11" s="9" t="s">
        <v>418</v>
      </c>
      <c r="N11" s="8">
        <v>0.77083333333333337</v>
      </c>
      <c r="O11" s="10">
        <f t="shared" si="4"/>
        <v>0.16666666666666663</v>
      </c>
      <c r="P11" s="9" t="s">
        <v>417</v>
      </c>
      <c r="Q11" s="8"/>
      <c r="R11" s="10" t="str">
        <f t="shared" si="5"/>
        <v/>
      </c>
      <c r="S11" s="9"/>
      <c r="T11" s="8"/>
      <c r="U11" s="10" t="str">
        <f t="shared" si="6"/>
        <v/>
      </c>
      <c r="V11" s="9"/>
      <c r="Z11" s="24"/>
    </row>
    <row r="12" spans="1:48">
      <c r="A12" s="12"/>
      <c r="B12" s="8"/>
      <c r="C12" s="10" t="str">
        <f t="shared" si="0"/>
        <v/>
      </c>
      <c r="D12" s="9"/>
      <c r="E12" s="8">
        <v>0.67708333333333337</v>
      </c>
      <c r="F12" s="10">
        <f t="shared" si="1"/>
        <v>8.3333333333333259E-2</v>
      </c>
      <c r="G12" s="9" t="s">
        <v>410</v>
      </c>
      <c r="H12" s="8"/>
      <c r="I12" s="10" t="str">
        <f t="shared" si="2"/>
        <v/>
      </c>
      <c r="J12" s="9"/>
      <c r="K12" s="8">
        <v>0.68055555555555547</v>
      </c>
      <c r="L12" s="10">
        <f t="shared" si="3"/>
        <v>4.861111111111116E-2</v>
      </c>
      <c r="M12" s="9" t="s">
        <v>412</v>
      </c>
      <c r="N12" s="8">
        <v>0.9375</v>
      </c>
      <c r="O12" s="10" t="str">
        <f t="shared" si="4"/>
        <v/>
      </c>
      <c r="P12" s="9"/>
      <c r="Q12" s="8"/>
      <c r="R12" s="10" t="str">
        <f t="shared" si="5"/>
        <v/>
      </c>
      <c r="S12" s="9"/>
      <c r="T12" s="8"/>
      <c r="U12" s="10" t="str">
        <f t="shared" si="6"/>
        <v/>
      </c>
      <c r="V12" s="9"/>
      <c r="Z12" s="24"/>
    </row>
    <row r="13" spans="1:48">
      <c r="A13" s="12"/>
      <c r="B13" s="8"/>
      <c r="C13" s="10" t="str">
        <f t="shared" si="0"/>
        <v/>
      </c>
      <c r="D13" s="9"/>
      <c r="E13" s="8">
        <v>0.76041666666666663</v>
      </c>
      <c r="F13" s="10" t="str">
        <f t="shared" si="1"/>
        <v/>
      </c>
      <c r="G13" s="9"/>
      <c r="H13" s="8"/>
      <c r="I13" s="10" t="str">
        <f t="shared" si="2"/>
        <v/>
      </c>
      <c r="J13" s="9"/>
      <c r="K13" s="8">
        <v>0.72916666666666663</v>
      </c>
      <c r="L13" s="10" t="str">
        <f t="shared" si="3"/>
        <v/>
      </c>
      <c r="M13" s="9"/>
      <c r="N13" s="8"/>
      <c r="O13" s="10" t="str">
        <f t="shared" si="4"/>
        <v/>
      </c>
      <c r="P13" s="9"/>
      <c r="Q13" s="8"/>
      <c r="R13" s="10" t="str">
        <f t="shared" si="5"/>
        <v/>
      </c>
      <c r="S13" s="9"/>
      <c r="T13" s="8"/>
      <c r="U13" s="10" t="str">
        <f t="shared" si="6"/>
        <v/>
      </c>
      <c r="V13" s="9"/>
      <c r="Z13" s="24"/>
    </row>
    <row r="14" spans="1:48">
      <c r="A14" s="12"/>
      <c r="B14" s="8"/>
      <c r="C14" s="10" t="str">
        <f t="shared" si="0"/>
        <v/>
      </c>
      <c r="D14" s="9"/>
      <c r="E14" s="8"/>
      <c r="F14" s="10" t="str">
        <f t="shared" si="1"/>
        <v/>
      </c>
      <c r="G14" s="9"/>
      <c r="H14" s="8"/>
      <c r="I14" s="10" t="str">
        <f t="shared" si="2"/>
        <v/>
      </c>
      <c r="J14" s="9"/>
      <c r="K14" s="8"/>
      <c r="L14" s="10" t="str">
        <f t="shared" si="3"/>
        <v/>
      </c>
      <c r="M14" s="9"/>
      <c r="N14" s="8"/>
      <c r="O14" s="10" t="str">
        <f t="shared" si="4"/>
        <v/>
      </c>
      <c r="P14" s="9"/>
      <c r="Q14" s="8"/>
      <c r="R14" s="10" t="str">
        <f t="shared" si="5"/>
        <v/>
      </c>
      <c r="S14" s="9"/>
      <c r="T14" s="8"/>
      <c r="U14" s="10" t="str">
        <f t="shared" si="6"/>
        <v/>
      </c>
      <c r="V14" s="9"/>
      <c r="Z14" s="24"/>
    </row>
    <row r="15" spans="1:48">
      <c r="A15" s="12"/>
      <c r="B15" s="8"/>
      <c r="C15" s="10" t="str">
        <f t="shared" si="0"/>
        <v/>
      </c>
      <c r="D15" s="9"/>
      <c r="E15" s="8"/>
      <c r="F15" s="10" t="str">
        <f t="shared" si="1"/>
        <v/>
      </c>
      <c r="G15" s="9"/>
      <c r="H15" s="8"/>
      <c r="I15" s="10" t="str">
        <f t="shared" si="2"/>
        <v/>
      </c>
      <c r="J15" s="9"/>
      <c r="K15" s="8"/>
      <c r="L15" s="10" t="str">
        <f t="shared" si="3"/>
        <v/>
      </c>
      <c r="M15" s="9"/>
      <c r="N15" s="8"/>
      <c r="O15" s="10" t="str">
        <f t="shared" si="4"/>
        <v/>
      </c>
      <c r="P15" s="9"/>
      <c r="Q15" s="8"/>
      <c r="R15" s="10" t="str">
        <f t="shared" si="5"/>
        <v/>
      </c>
      <c r="S15" s="9"/>
      <c r="T15" s="8"/>
      <c r="U15" s="10" t="str">
        <f t="shared" si="6"/>
        <v/>
      </c>
      <c r="V15" s="9"/>
      <c r="Z15" s="24"/>
    </row>
    <row r="16" spans="1:48">
      <c r="A16" s="12"/>
      <c r="B16" s="8"/>
      <c r="C16" s="10" t="str">
        <f t="shared" si="0"/>
        <v/>
      </c>
      <c r="D16" s="9"/>
      <c r="E16" s="8"/>
      <c r="F16" s="10" t="str">
        <f t="shared" si="1"/>
        <v/>
      </c>
      <c r="G16" s="9"/>
      <c r="H16" s="8"/>
      <c r="I16" s="10" t="str">
        <f t="shared" si="2"/>
        <v/>
      </c>
      <c r="J16" s="9"/>
      <c r="K16" s="8"/>
      <c r="L16" s="10" t="str">
        <f t="shared" si="3"/>
        <v/>
      </c>
      <c r="M16" s="9"/>
      <c r="N16" s="8"/>
      <c r="O16" s="10" t="str">
        <f t="shared" si="4"/>
        <v/>
      </c>
      <c r="P16" s="9"/>
      <c r="Q16" s="8"/>
      <c r="R16" s="10" t="str">
        <f t="shared" si="5"/>
        <v/>
      </c>
      <c r="S16" s="9"/>
      <c r="T16" s="8"/>
      <c r="U16" s="10" t="str">
        <f t="shared" si="6"/>
        <v/>
      </c>
      <c r="V16" s="9"/>
      <c r="Z16" s="24"/>
    </row>
    <row r="17" spans="1:48">
      <c r="A17" s="12"/>
      <c r="B17" s="8"/>
      <c r="C17" s="10" t="str">
        <f t="shared" si="0"/>
        <v/>
      </c>
      <c r="D17" s="9"/>
      <c r="E17" s="8"/>
      <c r="F17" s="10" t="str">
        <f t="shared" si="1"/>
        <v/>
      </c>
      <c r="G17" s="9"/>
      <c r="H17" s="8"/>
      <c r="I17" s="10" t="str">
        <f t="shared" si="2"/>
        <v/>
      </c>
      <c r="J17" s="9"/>
      <c r="K17" s="8"/>
      <c r="L17" s="10" t="str">
        <f t="shared" si="3"/>
        <v/>
      </c>
      <c r="M17" s="9"/>
      <c r="N17" s="8"/>
      <c r="O17" s="10" t="str">
        <f t="shared" si="4"/>
        <v/>
      </c>
      <c r="P17" s="9"/>
      <c r="Q17" s="8"/>
      <c r="R17" s="10" t="str">
        <f t="shared" si="5"/>
        <v/>
      </c>
      <c r="S17" s="9"/>
      <c r="T17" s="8"/>
      <c r="U17" s="10" t="str">
        <f t="shared" si="6"/>
        <v/>
      </c>
      <c r="V17" s="9"/>
      <c r="Z17" s="24"/>
    </row>
    <row r="18" spans="1:48">
      <c r="A18" s="12"/>
      <c r="B18" s="8"/>
      <c r="C18" s="10" t="str">
        <f t="shared" si="0"/>
        <v/>
      </c>
      <c r="D18" s="9"/>
      <c r="E18" s="8"/>
      <c r="F18" s="10" t="str">
        <f t="shared" si="1"/>
        <v/>
      </c>
      <c r="G18" s="9"/>
      <c r="H18" s="8"/>
      <c r="I18" s="10" t="str">
        <f t="shared" si="2"/>
        <v/>
      </c>
      <c r="J18" s="9"/>
      <c r="K18" s="8"/>
      <c r="L18" s="10" t="str">
        <f t="shared" si="3"/>
        <v/>
      </c>
      <c r="M18" s="9"/>
      <c r="N18" s="8"/>
      <c r="O18" s="10" t="str">
        <f t="shared" si="4"/>
        <v/>
      </c>
      <c r="P18" s="9"/>
      <c r="Q18" s="8"/>
      <c r="R18" s="10" t="str">
        <f t="shared" si="5"/>
        <v/>
      </c>
      <c r="S18" s="9"/>
      <c r="T18" s="8"/>
      <c r="U18" s="10" t="str">
        <f t="shared" si="6"/>
        <v/>
      </c>
      <c r="V18" s="9"/>
      <c r="Z18" s="24"/>
    </row>
    <row r="19" spans="1:48">
      <c r="A19" s="12"/>
      <c r="B19" s="8"/>
      <c r="C19" s="10" t="str">
        <f t="shared" si="0"/>
        <v/>
      </c>
      <c r="D19" s="9"/>
      <c r="E19" s="8"/>
      <c r="F19" s="10" t="str">
        <f t="shared" si="1"/>
        <v/>
      </c>
      <c r="G19" s="9"/>
      <c r="H19" s="8"/>
      <c r="I19" s="10" t="str">
        <f t="shared" si="2"/>
        <v/>
      </c>
      <c r="J19" s="9"/>
      <c r="K19" s="8"/>
      <c r="L19" s="10" t="str">
        <f t="shared" si="3"/>
        <v/>
      </c>
      <c r="M19" s="9"/>
      <c r="N19" s="8"/>
      <c r="O19" s="10" t="str">
        <f t="shared" si="4"/>
        <v/>
      </c>
      <c r="P19" s="9"/>
      <c r="Q19" s="8"/>
      <c r="R19" s="10" t="str">
        <f t="shared" si="5"/>
        <v/>
      </c>
      <c r="S19" s="9"/>
      <c r="T19" s="8"/>
      <c r="U19" s="10" t="str">
        <f t="shared" si="6"/>
        <v/>
      </c>
      <c r="V19" s="9"/>
      <c r="Z19" s="24"/>
    </row>
    <row r="20" spans="1:48">
      <c r="A20" s="12"/>
      <c r="B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W20" t="s">
        <v>25</v>
      </c>
      <c r="Z20" s="24"/>
    </row>
    <row r="21" spans="1:48">
      <c r="A21" s="7" t="s">
        <v>5</v>
      </c>
      <c r="B21" s="19"/>
      <c r="C21" s="13">
        <v>0</v>
      </c>
      <c r="D21" s="13"/>
      <c r="E21" s="13"/>
      <c r="F21" s="13">
        <v>10</v>
      </c>
      <c r="G21" s="13"/>
      <c r="H21" s="13"/>
      <c r="I21" s="13">
        <v>8</v>
      </c>
      <c r="J21" s="13"/>
      <c r="K21" s="13"/>
      <c r="L21" s="13">
        <v>8</v>
      </c>
      <c r="M21" s="13"/>
      <c r="N21" s="13"/>
      <c r="O21" s="13">
        <v>8</v>
      </c>
      <c r="P21" s="13"/>
      <c r="Q21" s="13"/>
      <c r="R21" s="13">
        <v>2</v>
      </c>
      <c r="S21" s="13"/>
      <c r="T21" s="13"/>
      <c r="U21" s="13">
        <f>IF(AND((COUNTIF(V4:V19,"Krank")=0),COUNTIF(V4:V19,"Feiertag")=0),5,0)</f>
        <v>5</v>
      </c>
      <c r="V21" s="19"/>
      <c r="W21" s="13">
        <f>SUM(C21:V21)</f>
        <v>41</v>
      </c>
      <c r="Z21" s="24"/>
    </row>
    <row r="22" spans="1:48" s="2" customFormat="1">
      <c r="A22" s="7" t="s">
        <v>26</v>
      </c>
      <c r="B22" s="13"/>
      <c r="C22" s="13" cm="1">
        <f t="array" ref="C22">SG_SUMHOURS(C4:C19,D4:D19)</f>
        <v>0</v>
      </c>
      <c r="D22" s="19"/>
      <c r="E22" s="13"/>
      <c r="F22" s="13" cm="1">
        <f t="array" ref="F22">SG_SUMHOURS(F4:F19,G4:G19)</f>
        <v>8.7499999999999982</v>
      </c>
      <c r="G22" s="13"/>
      <c r="H22" s="13"/>
      <c r="I22" s="13" cm="1">
        <f t="array" ref="I22">SG_SUMHOURS(I4:I19,J4:J19)</f>
        <v>6.9999999999999991</v>
      </c>
      <c r="J22" s="13"/>
      <c r="K22" s="13"/>
      <c r="L22" s="13" cm="1">
        <f t="array" ref="L22">SG_SUMHOURS(L4:L19,M4:M19)</f>
        <v>7.9166666666666679</v>
      </c>
      <c r="M22" s="13"/>
      <c r="N22" s="13"/>
      <c r="O22" s="13" cm="1">
        <f t="array" ref="O22">SG_SUMHOURS(O4:O19,P4:P19)</f>
        <v>11.166666666666666</v>
      </c>
      <c r="P22" s="13"/>
      <c r="Q22" s="13"/>
      <c r="R22" s="13" cm="1">
        <f t="array" ref="R22">SG_SUMHOURS(R4:R19,S4:S19)</f>
        <v>2.5000000000000018</v>
      </c>
      <c r="S22" s="13"/>
      <c r="T22" s="13"/>
      <c r="U22" s="13" cm="1">
        <f t="array" ref="U22">SG_SUMHOURS(U4:U19,V4:V19)</f>
        <v>0</v>
      </c>
      <c r="V22" s="13"/>
      <c r="W22" s="20">
        <f>SUM(C22:V22)</f>
        <v>37.333333333333329</v>
      </c>
      <c r="Z22" s="24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4"/>
      <c r="B23" s="14"/>
      <c r="V23" s="4" t="s">
        <v>389</v>
      </c>
      <c r="W23" s="13">
        <f>W22-W21</f>
        <v>-3.6666666666666714</v>
      </c>
      <c r="Z23" s="24"/>
    </row>
    <row r="24" spans="1:48" s="1" customFormat="1">
      <c r="C24" s="11"/>
      <c r="V24" s="4" t="s">
        <v>386</v>
      </c>
      <c r="W24" s="22">
        <v>0</v>
      </c>
      <c r="Y24"/>
      <c r="Z24" s="24"/>
    </row>
    <row r="25" spans="1:48">
      <c r="V25" s="4" t="s">
        <v>387</v>
      </c>
      <c r="W25" s="20">
        <f>SUM(W23:W24)</f>
        <v>-3.6666666666666714</v>
      </c>
      <c r="Z25" s="24"/>
    </row>
    <row r="26" spans="1:48">
      <c r="J26" s="23" t="s">
        <v>449</v>
      </c>
      <c r="M26" t="s">
        <v>450</v>
      </c>
      <c r="P26" t="s">
        <v>451</v>
      </c>
      <c r="Z26" s="24"/>
    </row>
    <row r="27" spans="1:48">
      <c r="Z27" s="24"/>
    </row>
    <row r="28" spans="1:48">
      <c r="Z28" s="24"/>
    </row>
  </sheetData>
  <dataValidations count="1">
    <dataValidation type="list" allowBlank="1" showInputMessage="1" showErrorMessage="1" sqref="V4:V19 G4:G19 J4:J19 M4:M19 P4:P19 S4:S19 D4:D19" xr:uid="{80C4FBE4-1CC8-4A12-8D70-58A98BE1C3DD}">
      <formula1>Tätigkeiten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E782F-E004-4FE5-9F25-5258D449E53D}">
  <sheetPr codeName="Sheet4"/>
  <dimension ref="A1:AV28"/>
  <sheetViews>
    <sheetView zoomScaleNormal="100" workbookViewId="0">
      <selection activeCell="M39" sqref="M39"/>
    </sheetView>
  </sheetViews>
  <sheetFormatPr defaultColWidth="10.90625" defaultRowHeight="14.5"/>
  <cols>
    <col min="1" max="1" width="6.36328125" bestFit="1" customWidth="1"/>
    <col min="2" max="2" width="6.1796875" bestFit="1" customWidth="1"/>
    <col min="3" max="3" width="6.08984375" style="2" bestFit="1" customWidth="1"/>
    <col min="4" max="4" width="27" customWidth="1"/>
    <col min="5" max="5" width="6.1796875" bestFit="1" customWidth="1"/>
    <col min="6" max="6" width="6.08984375" bestFit="1" customWidth="1"/>
    <col min="7" max="7" width="31.08984375" bestFit="1" customWidth="1"/>
    <col min="8" max="8" width="6.1796875" bestFit="1" customWidth="1"/>
    <col min="9" max="9" width="6.08984375" bestFit="1" customWidth="1"/>
    <col min="10" max="10" width="25.1796875" customWidth="1"/>
    <col min="11" max="11" width="8" bestFit="1" customWidth="1"/>
    <col min="12" max="12" width="6.08984375" bestFit="1" customWidth="1"/>
    <col min="13" max="13" width="25.90625" customWidth="1"/>
    <col min="14" max="14" width="6.1796875" bestFit="1" customWidth="1"/>
    <col min="15" max="15" width="6.08984375" bestFit="1" customWidth="1"/>
    <col min="16" max="16" width="19.6328125" customWidth="1"/>
    <col min="17" max="17" width="9.6328125" customWidth="1"/>
    <col min="18" max="18" width="6.08984375" bestFit="1" customWidth="1"/>
    <col min="19" max="19" width="17.6328125" bestFit="1" customWidth="1"/>
    <col min="20" max="20" width="6.1796875" bestFit="1" customWidth="1"/>
    <col min="21" max="21" width="6.08984375" bestFit="1" customWidth="1"/>
    <col min="22" max="22" width="12.6328125" bestFit="1" customWidth="1"/>
    <col min="23" max="23" width="7.1796875" bestFit="1" customWidth="1"/>
    <col min="25" max="25" width="39.36328125" bestFit="1" customWidth="1"/>
  </cols>
  <sheetData>
    <row r="1" spans="1:48" s="1" customFormat="1">
      <c r="A1" s="4" t="s">
        <v>27</v>
      </c>
      <c r="B1" s="4" t="s">
        <v>11</v>
      </c>
      <c r="C1" s="5"/>
      <c r="D1" s="4"/>
      <c r="E1" s="4" t="s">
        <v>13</v>
      </c>
      <c r="F1" s="4"/>
      <c r="G1" s="4"/>
      <c r="H1" s="4" t="s">
        <v>15</v>
      </c>
      <c r="I1" s="4"/>
      <c r="J1" s="4"/>
      <c r="K1" s="4" t="s">
        <v>17</v>
      </c>
      <c r="L1" s="4"/>
      <c r="M1" s="4"/>
      <c r="N1" s="4" t="s">
        <v>19</v>
      </c>
      <c r="O1" s="4"/>
      <c r="P1" s="4"/>
      <c r="Q1" s="4" t="s">
        <v>21</v>
      </c>
      <c r="R1" s="4"/>
      <c r="S1" s="4"/>
      <c r="T1" s="4" t="s">
        <v>23</v>
      </c>
      <c r="U1" s="4"/>
      <c r="V1" s="4"/>
    </row>
    <row r="2" spans="1:48" s="3" customFormat="1">
      <c r="A2" s="21">
        <v>2</v>
      </c>
      <c r="B2" s="6" t="str" cm="1">
        <f t="array" ref="B2">INDEX(KalenderWochen,$A$2,2)</f>
        <v>08.01.</v>
      </c>
      <c r="C2" s="5"/>
      <c r="D2" s="6"/>
      <c r="E2" s="6" t="str" cm="1">
        <f t="array" ref="E2">INDEX(KalenderWochen,$A$2,3)</f>
        <v>09.01.</v>
      </c>
      <c r="F2" s="6"/>
      <c r="G2" s="6"/>
      <c r="H2" s="6" t="str" cm="1">
        <f t="array" ref="H2">INDEX(KalenderWochen,$A$2,4)</f>
        <v>10.01.</v>
      </c>
      <c r="I2" s="6"/>
      <c r="J2" s="6"/>
      <c r="K2" s="6" t="str" cm="1">
        <f t="array" ref="K2">INDEX(KalenderWochen,$A$2,5)</f>
        <v>11.01.</v>
      </c>
      <c r="L2" s="6"/>
      <c r="M2" s="6"/>
      <c r="N2" s="6" t="str" cm="1">
        <f t="array" ref="N2">INDEX(KalenderWochen,$A$2,6)</f>
        <v>12.01.</v>
      </c>
      <c r="O2" s="6"/>
      <c r="P2" s="6"/>
      <c r="Q2" s="6" t="str" cm="1">
        <f t="array" ref="Q2">INDEX(KalenderWochen,$A$2,7)</f>
        <v>13.01.</v>
      </c>
      <c r="R2" s="6"/>
      <c r="S2" s="6"/>
      <c r="T2" s="6" t="str" cm="1">
        <f t="array" ref="T2">INDEX(KalenderWochen,$A$2,8)</f>
        <v>14.01.</v>
      </c>
      <c r="U2" s="6"/>
      <c r="V2" s="6"/>
      <c r="Y2"/>
      <c r="Z2" s="2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1" customFormat="1">
      <c r="A3" s="4"/>
      <c r="B3" s="4" t="s">
        <v>0</v>
      </c>
      <c r="C3" s="7" t="s">
        <v>1</v>
      </c>
      <c r="D3" s="4" t="s">
        <v>2</v>
      </c>
      <c r="E3" s="4" t="s">
        <v>0</v>
      </c>
      <c r="F3" s="4" t="s">
        <v>1</v>
      </c>
      <c r="G3" s="4" t="s">
        <v>2</v>
      </c>
      <c r="H3" s="4" t="s">
        <v>0</v>
      </c>
      <c r="I3" s="4" t="s">
        <v>1</v>
      </c>
      <c r="J3" s="4" t="s">
        <v>2</v>
      </c>
      <c r="K3" s="4" t="s">
        <v>0</v>
      </c>
      <c r="L3" s="4" t="s">
        <v>1</v>
      </c>
      <c r="M3" s="4" t="s">
        <v>2</v>
      </c>
      <c r="N3" s="4" t="s">
        <v>0</v>
      </c>
      <c r="O3" s="4" t="s">
        <v>1</v>
      </c>
      <c r="P3" s="4" t="s">
        <v>2</v>
      </c>
      <c r="Q3" s="4" t="s">
        <v>0</v>
      </c>
      <c r="R3" s="4" t="s">
        <v>1</v>
      </c>
      <c r="S3" s="4" t="s">
        <v>2</v>
      </c>
      <c r="T3" s="4" t="s">
        <v>0</v>
      </c>
      <c r="U3" s="4" t="s">
        <v>1</v>
      </c>
      <c r="V3" s="4" t="s">
        <v>2</v>
      </c>
      <c r="Y3"/>
    </row>
    <row r="4" spans="1:48">
      <c r="A4" s="12"/>
      <c r="B4" s="8">
        <v>0.375</v>
      </c>
      <c r="C4" s="10">
        <f>IF(ISBLANK(B5),"",(B5-B4))</f>
        <v>4.1666666666666685E-2</v>
      </c>
      <c r="D4" s="9" t="s">
        <v>412</v>
      </c>
      <c r="E4" s="8">
        <v>0.33333333333333331</v>
      </c>
      <c r="F4" s="10">
        <f>IF(ISBLANK(E5),"",(E5-E4))</f>
        <v>0.10416666666666669</v>
      </c>
      <c r="G4" s="9" t="s">
        <v>436</v>
      </c>
      <c r="H4" s="8">
        <v>0.34375</v>
      </c>
      <c r="I4" s="10">
        <f>IF(ISBLANK(H5),"",(H5-H4))</f>
        <v>9.375E-2</v>
      </c>
      <c r="J4" s="9" t="s">
        <v>426</v>
      </c>
      <c r="K4" s="8">
        <v>0.34027777777777773</v>
      </c>
      <c r="L4" s="10">
        <f>IF(ISBLANK(K5),"",(K5-K4))</f>
        <v>1.3888888888888951E-2</v>
      </c>
      <c r="M4" s="9" t="s">
        <v>10</v>
      </c>
      <c r="N4" s="8">
        <v>0.35416666666666669</v>
      </c>
      <c r="O4" s="10">
        <f>IF(ISBLANK(N5),"",(N5-N4))</f>
        <v>2.0833333333333315E-2</v>
      </c>
      <c r="P4" s="9" t="s">
        <v>448</v>
      </c>
      <c r="Q4" s="8">
        <v>0.375</v>
      </c>
      <c r="R4" s="10">
        <f>IF(ISBLANK(Q5),"",(Q5-Q4))</f>
        <v>0.125</v>
      </c>
      <c r="S4" s="9" t="s">
        <v>417</v>
      </c>
      <c r="T4" s="8">
        <v>0.375</v>
      </c>
      <c r="U4" s="10">
        <f>IF(ISBLANK(T5),"",(T5-T4))</f>
        <v>0.16666666666666663</v>
      </c>
      <c r="V4" s="9" t="s">
        <v>417</v>
      </c>
      <c r="Z4" s="24"/>
    </row>
    <row r="5" spans="1:48">
      <c r="A5" s="12"/>
      <c r="B5" s="8">
        <v>0.41666666666666669</v>
      </c>
      <c r="C5" s="10" t="str">
        <f t="shared" ref="C5:C19" si="0">IF(ISBLANK(B6),"",(B6-B5))</f>
        <v/>
      </c>
      <c r="D5" s="9"/>
      <c r="E5" s="8">
        <v>0.4375</v>
      </c>
      <c r="F5" s="10">
        <f t="shared" ref="F5:F19" si="1">IF(ISBLANK(E6),"",(E6-E5))</f>
        <v>3.125E-2</v>
      </c>
      <c r="G5" s="9" t="s">
        <v>433</v>
      </c>
      <c r="H5" s="8">
        <v>0.4375</v>
      </c>
      <c r="I5" s="10">
        <f t="shared" ref="I5:I19" si="2">IF(ISBLANK(H6),"",(H6-H5))</f>
        <v>8.333333333333337E-2</v>
      </c>
      <c r="J5" s="9" t="s">
        <v>444</v>
      </c>
      <c r="K5" s="8">
        <v>0.35416666666666669</v>
      </c>
      <c r="L5" s="10">
        <f t="shared" ref="L5:L19" si="3">IF(ISBLANK(K6),"",(K6-K5))</f>
        <v>6.25E-2</v>
      </c>
      <c r="M5" s="9" t="s">
        <v>8</v>
      </c>
      <c r="N5" s="8">
        <v>0.375</v>
      </c>
      <c r="O5" s="10">
        <f t="shared" ref="O5:O19" si="4">IF(ISBLANK(N6),"",(N6-N5))</f>
        <v>0.14583333333333337</v>
      </c>
      <c r="P5" s="9" t="s">
        <v>3</v>
      </c>
      <c r="Q5" s="8">
        <v>0.5</v>
      </c>
      <c r="R5" s="10">
        <f t="shared" ref="R5:R19" si="5">IF(ISBLANK(Q6),"",(Q6-Q5))</f>
        <v>0.125</v>
      </c>
      <c r="S5" s="9" t="s">
        <v>3</v>
      </c>
      <c r="T5" s="8">
        <v>0.54166666666666663</v>
      </c>
      <c r="U5" s="10" t="str">
        <f t="shared" ref="U5:U19" si="6">IF(ISBLANK(T6),"",(T6-T5))</f>
        <v/>
      </c>
      <c r="V5" s="9"/>
      <c r="Z5" s="24"/>
    </row>
    <row r="6" spans="1:48">
      <c r="A6" s="12"/>
      <c r="B6" s="8"/>
      <c r="C6" s="10" t="str">
        <f t="shared" si="0"/>
        <v/>
      </c>
      <c r="D6" s="9"/>
      <c r="E6" s="8">
        <v>0.46875</v>
      </c>
      <c r="F6" s="10">
        <f t="shared" si="1"/>
        <v>2.0833333333333315E-2</v>
      </c>
      <c r="G6" s="9" t="s">
        <v>440</v>
      </c>
      <c r="H6" s="8">
        <v>0.52083333333333337</v>
      </c>
      <c r="I6" s="10">
        <f t="shared" si="2"/>
        <v>2.0833333333333259E-2</v>
      </c>
      <c r="J6" s="9" t="s">
        <v>3</v>
      </c>
      <c r="K6" s="8">
        <v>0.41666666666666669</v>
      </c>
      <c r="L6" s="10">
        <f t="shared" si="3"/>
        <v>2.0833333333333315E-2</v>
      </c>
      <c r="M6" s="9" t="s">
        <v>10</v>
      </c>
      <c r="N6" s="8">
        <v>0.52083333333333337</v>
      </c>
      <c r="O6" s="10">
        <f t="shared" si="4"/>
        <v>4.166666666666663E-2</v>
      </c>
      <c r="P6" s="9" t="s">
        <v>433</v>
      </c>
      <c r="Q6" s="8">
        <v>0.625</v>
      </c>
      <c r="R6" s="10">
        <f t="shared" si="5"/>
        <v>0.25</v>
      </c>
      <c r="S6" s="9" t="s">
        <v>417</v>
      </c>
      <c r="T6" s="8"/>
      <c r="U6" s="10" t="str">
        <f t="shared" si="6"/>
        <v/>
      </c>
      <c r="V6" s="9"/>
      <c r="Z6" s="24"/>
    </row>
    <row r="7" spans="1:48">
      <c r="A7" s="12"/>
      <c r="B7" s="8"/>
      <c r="C7" s="10" t="str">
        <f t="shared" si="0"/>
        <v/>
      </c>
      <c r="D7" s="9"/>
      <c r="E7" s="8">
        <v>0.48958333333333331</v>
      </c>
      <c r="F7" s="10">
        <f t="shared" si="1"/>
        <v>1.0416666666666685E-2</v>
      </c>
      <c r="G7" s="9" t="s">
        <v>10</v>
      </c>
      <c r="H7" s="8">
        <v>0.54166666666666663</v>
      </c>
      <c r="I7" s="10">
        <f t="shared" si="2"/>
        <v>3.125E-2</v>
      </c>
      <c r="J7" s="9" t="s">
        <v>444</v>
      </c>
      <c r="K7" s="8">
        <v>0.4375</v>
      </c>
      <c r="L7" s="10">
        <f t="shared" si="3"/>
        <v>8.333333333333337E-2</v>
      </c>
      <c r="M7" s="9" t="s">
        <v>3</v>
      </c>
      <c r="N7" s="8">
        <v>0.5625</v>
      </c>
      <c r="O7" s="10">
        <f t="shared" si="4"/>
        <v>2.083333333333337E-2</v>
      </c>
      <c r="P7" s="9" t="s">
        <v>411</v>
      </c>
      <c r="Q7" s="8">
        <v>0.875</v>
      </c>
      <c r="R7" s="10" t="str">
        <f t="shared" si="5"/>
        <v/>
      </c>
      <c r="S7" s="9"/>
      <c r="T7" s="8"/>
      <c r="U7" s="10" t="str">
        <f t="shared" si="6"/>
        <v/>
      </c>
      <c r="V7" s="9"/>
      <c r="Z7" s="24"/>
    </row>
    <row r="8" spans="1:48">
      <c r="A8" s="12"/>
      <c r="B8" s="8"/>
      <c r="C8" s="10" t="str">
        <f t="shared" si="0"/>
        <v/>
      </c>
      <c r="D8" s="9"/>
      <c r="E8" s="8">
        <v>0.5</v>
      </c>
      <c r="F8" s="10">
        <f t="shared" si="1"/>
        <v>6.25E-2</v>
      </c>
      <c r="G8" s="9" t="s">
        <v>426</v>
      </c>
      <c r="H8" s="8">
        <v>0.57291666666666663</v>
      </c>
      <c r="I8" s="10">
        <f t="shared" si="2"/>
        <v>1.0416666666666741E-2</v>
      </c>
      <c r="J8" s="9" t="s">
        <v>3</v>
      </c>
      <c r="K8" s="8">
        <v>0.52083333333333337</v>
      </c>
      <c r="L8" s="10">
        <f t="shared" si="3"/>
        <v>8.3333333333333259E-2</v>
      </c>
      <c r="M8" s="9" t="s">
        <v>433</v>
      </c>
      <c r="N8" s="8">
        <v>0.58333333333333337</v>
      </c>
      <c r="O8" s="10">
        <f t="shared" si="4"/>
        <v>2.0833333333333259E-2</v>
      </c>
      <c r="P8" s="9" t="s">
        <v>433</v>
      </c>
      <c r="Q8" s="8"/>
      <c r="R8" s="10" t="str">
        <f t="shared" si="5"/>
        <v/>
      </c>
      <c r="S8" s="9"/>
      <c r="T8" s="8"/>
      <c r="U8" s="10" t="str">
        <f t="shared" si="6"/>
        <v/>
      </c>
      <c r="V8" s="9"/>
      <c r="Z8" s="24"/>
    </row>
    <row r="9" spans="1:48">
      <c r="A9" s="12"/>
      <c r="B9" s="8"/>
      <c r="C9" s="10" t="str">
        <f t="shared" si="0"/>
        <v/>
      </c>
      <c r="D9" s="9"/>
      <c r="E9" s="8">
        <v>0.5625</v>
      </c>
      <c r="F9" s="10">
        <f t="shared" si="1"/>
        <v>2.083333333333337E-2</v>
      </c>
      <c r="G9" s="9" t="s">
        <v>3</v>
      </c>
      <c r="H9" s="8">
        <v>0.58333333333333337</v>
      </c>
      <c r="I9" s="10">
        <f t="shared" si="2"/>
        <v>8.3333333333333259E-2</v>
      </c>
      <c r="J9" s="9" t="s">
        <v>444</v>
      </c>
      <c r="K9" s="8">
        <v>0.60416666666666663</v>
      </c>
      <c r="L9" s="10">
        <f t="shared" si="3"/>
        <v>6.25E-2</v>
      </c>
      <c r="M9" s="9" t="s">
        <v>440</v>
      </c>
      <c r="N9" s="8">
        <v>0.60416666666666663</v>
      </c>
      <c r="O9" s="10">
        <f t="shared" si="4"/>
        <v>2.083333333333337E-2</v>
      </c>
      <c r="P9" s="9"/>
      <c r="Q9" s="8"/>
      <c r="R9" s="10" t="str">
        <f t="shared" si="5"/>
        <v/>
      </c>
      <c r="S9" s="9"/>
      <c r="T9" s="8"/>
      <c r="U9" s="10" t="str">
        <f t="shared" si="6"/>
        <v/>
      </c>
      <c r="V9" s="9"/>
      <c r="Z9" s="24"/>
    </row>
    <row r="10" spans="1:48">
      <c r="A10" s="12"/>
      <c r="B10" s="8"/>
      <c r="C10" s="10" t="str">
        <f t="shared" si="0"/>
        <v/>
      </c>
      <c r="D10" s="9"/>
      <c r="E10" s="8">
        <v>0.58333333333333337</v>
      </c>
      <c r="F10" s="10">
        <f t="shared" si="1"/>
        <v>2.0833333333333259E-2</v>
      </c>
      <c r="G10" s="9" t="s">
        <v>411</v>
      </c>
      <c r="H10" s="8">
        <v>0.66666666666666663</v>
      </c>
      <c r="I10" s="10" t="str">
        <f t="shared" si="2"/>
        <v/>
      </c>
      <c r="J10" s="9"/>
      <c r="K10" s="8">
        <v>0.66666666666666663</v>
      </c>
      <c r="L10" s="10">
        <f t="shared" si="3"/>
        <v>6.9444444444444531E-2</v>
      </c>
      <c r="M10" s="9" t="s">
        <v>3</v>
      </c>
      <c r="N10" s="8">
        <v>0.625</v>
      </c>
      <c r="O10" s="10">
        <f t="shared" si="4"/>
        <v>4.166666666666663E-2</v>
      </c>
      <c r="P10" s="9" t="s">
        <v>418</v>
      </c>
      <c r="Q10" s="8"/>
      <c r="R10" s="10" t="str">
        <f t="shared" si="5"/>
        <v/>
      </c>
      <c r="S10" s="9"/>
      <c r="T10" s="8"/>
      <c r="U10" s="10" t="str">
        <f t="shared" si="6"/>
        <v/>
      </c>
      <c r="V10" s="9"/>
      <c r="Z10" s="24"/>
    </row>
    <row r="11" spans="1:48">
      <c r="A11" s="12"/>
      <c r="B11" s="8"/>
      <c r="C11" s="10" t="str">
        <f t="shared" si="0"/>
        <v/>
      </c>
      <c r="D11" s="9"/>
      <c r="E11" s="8">
        <v>0.60416666666666663</v>
      </c>
      <c r="F11" s="10">
        <f t="shared" si="1"/>
        <v>2.083333333333337E-2</v>
      </c>
      <c r="G11" s="9" t="s">
        <v>434</v>
      </c>
      <c r="H11" s="8"/>
      <c r="I11" s="10" t="str">
        <f t="shared" si="2"/>
        <v/>
      </c>
      <c r="J11" s="9"/>
      <c r="K11" s="8">
        <v>0.73611111111111116</v>
      </c>
      <c r="L11" s="10">
        <f t="shared" si="3"/>
        <v>1.388888888888884E-2</v>
      </c>
      <c r="M11" s="9" t="s">
        <v>10</v>
      </c>
      <c r="N11" s="8">
        <v>0.66666666666666663</v>
      </c>
      <c r="O11" s="10">
        <f t="shared" si="4"/>
        <v>4.1666666666666741E-2</v>
      </c>
      <c r="P11" s="9" t="s">
        <v>3</v>
      </c>
      <c r="Q11" s="8"/>
      <c r="R11" s="10" t="str">
        <f t="shared" si="5"/>
        <v/>
      </c>
      <c r="S11" s="9"/>
      <c r="T11" s="8"/>
      <c r="U11" s="10" t="str">
        <f t="shared" si="6"/>
        <v/>
      </c>
      <c r="V11" s="9"/>
      <c r="Z11" s="24"/>
    </row>
    <row r="12" spans="1:48">
      <c r="A12" s="12"/>
      <c r="B12" s="8"/>
      <c r="C12" s="10" t="str">
        <f t="shared" si="0"/>
        <v/>
      </c>
      <c r="D12" s="9"/>
      <c r="E12" s="8">
        <v>0.625</v>
      </c>
      <c r="F12" s="10">
        <f t="shared" si="1"/>
        <v>6.25E-2</v>
      </c>
      <c r="G12" s="9" t="s">
        <v>433</v>
      </c>
      <c r="H12" s="8"/>
      <c r="I12" s="10" t="str">
        <f t="shared" si="2"/>
        <v/>
      </c>
      <c r="J12" s="9"/>
      <c r="K12" s="8">
        <v>0.75</v>
      </c>
      <c r="L12" s="10">
        <f t="shared" si="3"/>
        <v>6.25E-2</v>
      </c>
      <c r="M12" s="9" t="s">
        <v>431</v>
      </c>
      <c r="N12" s="8">
        <v>0.70833333333333337</v>
      </c>
      <c r="O12" s="10">
        <f t="shared" si="4"/>
        <v>0.16666666666666663</v>
      </c>
      <c r="P12" s="9" t="s">
        <v>417</v>
      </c>
      <c r="Q12" s="8"/>
      <c r="R12" s="10" t="str">
        <f t="shared" si="5"/>
        <v/>
      </c>
      <c r="S12" s="9"/>
      <c r="T12" s="8"/>
      <c r="U12" s="10" t="str">
        <f t="shared" si="6"/>
        <v/>
      </c>
      <c r="V12" s="9"/>
      <c r="Z12" s="24"/>
    </row>
    <row r="13" spans="1:48">
      <c r="A13" s="12"/>
      <c r="B13" s="8"/>
      <c r="C13" s="10" t="str">
        <f t="shared" si="0"/>
        <v/>
      </c>
      <c r="D13" s="9"/>
      <c r="E13" s="8">
        <v>0.6875</v>
      </c>
      <c r="F13" s="10">
        <f t="shared" si="1"/>
        <v>6.25E-2</v>
      </c>
      <c r="G13" s="9" t="s">
        <v>410</v>
      </c>
      <c r="H13" s="8"/>
      <c r="I13" s="10" t="str">
        <f t="shared" si="2"/>
        <v/>
      </c>
      <c r="J13" s="9"/>
      <c r="K13" s="8">
        <v>0.8125</v>
      </c>
      <c r="L13" s="10" t="str">
        <f t="shared" si="3"/>
        <v/>
      </c>
      <c r="M13" s="9"/>
      <c r="N13" s="8">
        <v>0.875</v>
      </c>
      <c r="O13" s="10" t="str">
        <f t="shared" si="4"/>
        <v/>
      </c>
      <c r="P13" s="9"/>
      <c r="Q13" s="8"/>
      <c r="R13" s="10" t="str">
        <f t="shared" si="5"/>
        <v/>
      </c>
      <c r="S13" s="9"/>
      <c r="T13" s="8"/>
      <c r="U13" s="10" t="str">
        <f t="shared" si="6"/>
        <v/>
      </c>
      <c r="V13" s="9"/>
      <c r="Z13" s="24"/>
    </row>
    <row r="14" spans="1:48">
      <c r="A14" s="12"/>
      <c r="B14" s="8"/>
      <c r="C14" s="10" t="str">
        <f t="shared" si="0"/>
        <v/>
      </c>
      <c r="D14" s="9"/>
      <c r="E14" s="8">
        <v>0.75</v>
      </c>
      <c r="F14" s="10">
        <f t="shared" si="1"/>
        <v>7.291666666666663E-2</v>
      </c>
      <c r="G14" s="9"/>
      <c r="H14" s="8"/>
      <c r="I14" s="10" t="str">
        <f t="shared" si="2"/>
        <v/>
      </c>
      <c r="J14" s="9"/>
      <c r="K14" s="8"/>
      <c r="L14" s="10" t="str">
        <f t="shared" si="3"/>
        <v/>
      </c>
      <c r="M14" s="9"/>
      <c r="N14" s="8"/>
      <c r="O14" s="10" t="str">
        <f t="shared" si="4"/>
        <v/>
      </c>
      <c r="P14" s="9"/>
      <c r="Q14" s="8"/>
      <c r="R14" s="10" t="str">
        <f t="shared" si="5"/>
        <v/>
      </c>
      <c r="S14" s="9"/>
      <c r="T14" s="8"/>
      <c r="U14" s="10" t="str">
        <f t="shared" si="6"/>
        <v/>
      </c>
      <c r="V14" s="9"/>
      <c r="Z14" s="24"/>
    </row>
    <row r="15" spans="1:48">
      <c r="A15" s="12"/>
      <c r="B15" s="8"/>
      <c r="C15" s="10" t="str">
        <f t="shared" si="0"/>
        <v/>
      </c>
      <c r="D15" s="9"/>
      <c r="E15" s="8">
        <v>0.82291666666666663</v>
      </c>
      <c r="F15" s="10">
        <f t="shared" si="1"/>
        <v>0.10763888888888884</v>
      </c>
      <c r="G15" s="9" t="s">
        <v>419</v>
      </c>
      <c r="H15" s="8"/>
      <c r="I15" s="10" t="str">
        <f t="shared" si="2"/>
        <v/>
      </c>
      <c r="J15" s="9"/>
      <c r="K15" s="8"/>
      <c r="L15" s="10" t="str">
        <f t="shared" si="3"/>
        <v/>
      </c>
      <c r="M15" s="9"/>
      <c r="N15" s="8"/>
      <c r="O15" s="10" t="str">
        <f t="shared" si="4"/>
        <v/>
      </c>
      <c r="P15" s="9"/>
      <c r="Q15" s="8"/>
      <c r="R15" s="10" t="str">
        <f t="shared" si="5"/>
        <v/>
      </c>
      <c r="S15" s="9"/>
      <c r="T15" s="8"/>
      <c r="U15" s="10" t="str">
        <f t="shared" si="6"/>
        <v/>
      </c>
      <c r="V15" s="9"/>
      <c r="Z15" s="24"/>
    </row>
    <row r="16" spans="1:48">
      <c r="A16" s="12"/>
      <c r="B16" s="8"/>
      <c r="C16" s="10" t="str">
        <f t="shared" si="0"/>
        <v/>
      </c>
      <c r="D16" s="9"/>
      <c r="E16" s="8">
        <v>0.93055555555555547</v>
      </c>
      <c r="F16" s="10" t="str">
        <f t="shared" si="1"/>
        <v/>
      </c>
      <c r="G16" s="9"/>
      <c r="H16" s="8"/>
      <c r="I16" s="10" t="str">
        <f t="shared" si="2"/>
        <v/>
      </c>
      <c r="J16" s="9"/>
      <c r="K16" s="8"/>
      <c r="L16" s="10" t="str">
        <f t="shared" si="3"/>
        <v/>
      </c>
      <c r="M16" s="9"/>
      <c r="N16" s="8"/>
      <c r="O16" s="10" t="str">
        <f t="shared" si="4"/>
        <v/>
      </c>
      <c r="P16" s="9"/>
      <c r="Q16" s="8"/>
      <c r="R16" s="10" t="str">
        <f t="shared" si="5"/>
        <v/>
      </c>
      <c r="S16" s="9"/>
      <c r="T16" s="8"/>
      <c r="U16" s="10" t="str">
        <f t="shared" si="6"/>
        <v/>
      </c>
      <c r="V16" s="9"/>
      <c r="Z16" s="24"/>
    </row>
    <row r="17" spans="1:48">
      <c r="A17" s="12"/>
      <c r="B17" s="8"/>
      <c r="C17" s="10" t="str">
        <f t="shared" si="0"/>
        <v/>
      </c>
      <c r="D17" s="9"/>
      <c r="E17" s="8"/>
      <c r="F17" s="10" t="str">
        <f t="shared" si="1"/>
        <v/>
      </c>
      <c r="G17" s="9"/>
      <c r="H17" s="8"/>
      <c r="I17" s="10" t="str">
        <f t="shared" si="2"/>
        <v/>
      </c>
      <c r="J17" s="9"/>
      <c r="K17" s="8"/>
      <c r="L17" s="10" t="str">
        <f t="shared" si="3"/>
        <v/>
      </c>
      <c r="M17" s="9"/>
      <c r="N17" s="8"/>
      <c r="O17" s="10" t="str">
        <f t="shared" si="4"/>
        <v/>
      </c>
      <c r="P17" s="9"/>
      <c r="Q17" s="8"/>
      <c r="R17" s="10" t="str">
        <f t="shared" si="5"/>
        <v/>
      </c>
      <c r="S17" s="9"/>
      <c r="T17" s="8"/>
      <c r="U17" s="10" t="str">
        <f t="shared" si="6"/>
        <v/>
      </c>
      <c r="V17" s="9"/>
      <c r="Z17" s="24"/>
    </row>
    <row r="18" spans="1:48">
      <c r="A18" s="12"/>
      <c r="B18" s="8"/>
      <c r="C18" s="10" t="str">
        <f t="shared" si="0"/>
        <v/>
      </c>
      <c r="D18" s="9"/>
      <c r="E18" s="8"/>
      <c r="F18" s="10" t="str">
        <f t="shared" si="1"/>
        <v/>
      </c>
      <c r="G18" s="9"/>
      <c r="H18" s="8"/>
      <c r="I18" s="10" t="str">
        <f t="shared" si="2"/>
        <v/>
      </c>
      <c r="J18" s="9"/>
      <c r="K18" s="8"/>
      <c r="L18" s="10" t="str">
        <f t="shared" si="3"/>
        <v/>
      </c>
      <c r="M18" s="9"/>
      <c r="N18" s="8"/>
      <c r="O18" s="10" t="str">
        <f t="shared" si="4"/>
        <v/>
      </c>
      <c r="P18" s="9"/>
      <c r="Q18" s="8"/>
      <c r="R18" s="10" t="str">
        <f t="shared" si="5"/>
        <v/>
      </c>
      <c r="S18" s="9"/>
      <c r="T18" s="8"/>
      <c r="U18" s="10" t="str">
        <f t="shared" si="6"/>
        <v/>
      </c>
      <c r="V18" s="9"/>
      <c r="Z18" s="24"/>
    </row>
    <row r="19" spans="1:48">
      <c r="A19" s="12"/>
      <c r="B19" s="8"/>
      <c r="C19" s="10" t="str">
        <f t="shared" si="0"/>
        <v/>
      </c>
      <c r="D19" s="9"/>
      <c r="E19" s="8"/>
      <c r="F19" s="10" t="str">
        <f t="shared" si="1"/>
        <v/>
      </c>
      <c r="G19" s="9"/>
      <c r="H19" s="8"/>
      <c r="I19" s="10" t="str">
        <f t="shared" si="2"/>
        <v/>
      </c>
      <c r="J19" s="9"/>
      <c r="K19" s="8"/>
      <c r="L19" s="10" t="str">
        <f t="shared" si="3"/>
        <v/>
      </c>
      <c r="M19" s="9"/>
      <c r="N19" s="8"/>
      <c r="O19" s="10" t="str">
        <f t="shared" si="4"/>
        <v/>
      </c>
      <c r="P19" s="9"/>
      <c r="Q19" s="8"/>
      <c r="R19" s="10" t="str">
        <f t="shared" si="5"/>
        <v/>
      </c>
      <c r="S19" s="9"/>
      <c r="T19" s="8"/>
      <c r="U19" s="10" t="str">
        <f t="shared" si="6"/>
        <v/>
      </c>
      <c r="V19" s="9"/>
      <c r="Z19" s="24"/>
    </row>
    <row r="20" spans="1:48">
      <c r="A20" s="12"/>
      <c r="B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W20" t="s">
        <v>25</v>
      </c>
      <c r="Z20" s="24"/>
    </row>
    <row r="21" spans="1:48">
      <c r="A21" s="7" t="s">
        <v>5</v>
      </c>
      <c r="B21" s="19"/>
      <c r="C21" s="13">
        <v>0</v>
      </c>
      <c r="D21" s="13"/>
      <c r="E21" s="13"/>
      <c r="F21" s="13">
        <v>10</v>
      </c>
      <c r="G21" s="13"/>
      <c r="H21" s="13"/>
      <c r="I21" s="13">
        <v>8</v>
      </c>
      <c r="J21" s="13"/>
      <c r="K21" s="13"/>
      <c r="L21" s="13">
        <v>8</v>
      </c>
      <c r="M21" s="13"/>
      <c r="N21" s="13"/>
      <c r="O21" s="13">
        <v>8</v>
      </c>
      <c r="P21" s="13"/>
      <c r="Q21" s="13"/>
      <c r="R21" s="13">
        <v>2</v>
      </c>
      <c r="S21" s="13"/>
      <c r="T21" s="13"/>
      <c r="U21" s="13">
        <f>IF(AND((COUNTIF(V4:V19,"Krank")=0),COUNTIF(V4:V19,"Feiertag")=0),5,0)</f>
        <v>5</v>
      </c>
      <c r="V21" s="19"/>
      <c r="W21" s="13">
        <f>SUM(C21:V21)</f>
        <v>41</v>
      </c>
      <c r="Z21" s="24"/>
    </row>
    <row r="22" spans="1:48" s="2" customFormat="1">
      <c r="A22" s="7" t="s">
        <v>26</v>
      </c>
      <c r="B22" s="13"/>
      <c r="C22" s="13" cm="1">
        <f t="array" ref="C22">SG_SUMHOURS(C4:C19,D4:D19)</f>
        <v>1.0000000000000004</v>
      </c>
      <c r="D22" s="19"/>
      <c r="E22" s="13"/>
      <c r="F22" s="13" cm="1">
        <f t="array" ref="F22">SG_SUMHOURS(F4:F19,G4:G19)</f>
        <v>12.083333333333332</v>
      </c>
      <c r="G22" s="13"/>
      <c r="H22" s="13"/>
      <c r="I22" s="13" cm="1">
        <f t="array" ref="I22">SG_SUMHOURS(I4:I19,J4:J19)</f>
        <v>6.9999999999999991</v>
      </c>
      <c r="J22" s="13"/>
      <c r="K22" s="13"/>
      <c r="L22" s="13" cm="1">
        <f t="array" ref="L22">SG_SUMHOURS(L4:L19,M4:M19)</f>
        <v>7.6666666666666643</v>
      </c>
      <c r="M22" s="13"/>
      <c r="N22" s="13"/>
      <c r="O22" s="13" cm="1">
        <f t="array" ref="O22">SG_SUMHOURS(O4:O19,P4:P19)</f>
        <v>7.4999999999999964</v>
      </c>
      <c r="P22" s="13"/>
      <c r="Q22" s="13"/>
      <c r="R22" s="13" cm="1">
        <f t="array" ref="R22">SG_SUMHOURS(R4:R19,S4:S19)</f>
        <v>9</v>
      </c>
      <c r="S22" s="13"/>
      <c r="T22" s="13"/>
      <c r="U22" s="13" cm="1">
        <f t="array" ref="U22">SG_SUMHOURS(U4:U19,V4:V19)</f>
        <v>3.9999999999999991</v>
      </c>
      <c r="V22" s="13"/>
      <c r="W22" s="20">
        <f>SUM(C22:V22)</f>
        <v>48.249999999999993</v>
      </c>
      <c r="Z22" s="24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4"/>
      <c r="B23" s="14"/>
      <c r="V23" s="4" t="s">
        <v>389</v>
      </c>
      <c r="W23" s="13">
        <f>W22-W21</f>
        <v>7.2499999999999929</v>
      </c>
      <c r="Z23" s="24"/>
    </row>
    <row r="24" spans="1:48" s="1" customFormat="1">
      <c r="C24" s="11"/>
      <c r="P24" s="1" t="s">
        <v>452</v>
      </c>
      <c r="S24" s="1" t="s">
        <v>452</v>
      </c>
      <c r="V24" s="4" t="s">
        <v>386</v>
      </c>
      <c r="W24" s="22">
        <v>-3.7</v>
      </c>
      <c r="Y24"/>
      <c r="Z24" s="24"/>
    </row>
    <row r="25" spans="1:48">
      <c r="V25" s="4" t="s">
        <v>387</v>
      </c>
      <c r="W25" s="20">
        <f>SUM(W23:W24)</f>
        <v>3.5499999999999927</v>
      </c>
      <c r="Z25" s="24"/>
    </row>
    <row r="26" spans="1:48">
      <c r="J26" s="23"/>
      <c r="Z26" s="24"/>
    </row>
    <row r="27" spans="1:48">
      <c r="Z27" s="24"/>
    </row>
    <row r="28" spans="1:48">
      <c r="Z28" s="24"/>
    </row>
  </sheetData>
  <dataValidations count="1">
    <dataValidation type="list" allowBlank="1" showInputMessage="1" showErrorMessage="1" sqref="V4:V19 G4:G19 J4:J19 M4:M19 P4:P19 S4:S19 D4:D19" xr:uid="{B5CF99AD-DA9A-44FF-A2AF-F45BBFB9C05E}">
      <formula1>Tätigkeiten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D382E-E62D-473B-B238-CF109098AAD7}">
  <sheetPr codeName="Sheet5"/>
  <dimension ref="A1:AV28"/>
  <sheetViews>
    <sheetView zoomScale="115" zoomScaleNormal="115" workbookViewId="0">
      <selection activeCell="G35" sqref="G35"/>
    </sheetView>
  </sheetViews>
  <sheetFormatPr defaultColWidth="10.90625" defaultRowHeight="14.5"/>
  <cols>
    <col min="1" max="1" width="6.36328125" bestFit="1" customWidth="1"/>
    <col min="2" max="2" width="9.54296875" customWidth="1"/>
    <col min="3" max="3" width="8.1796875" style="2" customWidth="1"/>
    <col min="4" max="4" width="27.36328125" customWidth="1"/>
    <col min="5" max="5" width="9.90625" customWidth="1"/>
    <col min="6" max="6" width="8.453125" customWidth="1"/>
    <col min="7" max="7" width="31.08984375" bestFit="1" customWidth="1"/>
    <col min="8" max="8" width="6.1796875" bestFit="1" customWidth="1"/>
    <col min="9" max="9" width="6.08984375" bestFit="1" customWidth="1"/>
    <col min="10" max="10" width="30.54296875" customWidth="1"/>
    <col min="11" max="11" width="8" bestFit="1" customWidth="1"/>
    <col min="12" max="12" width="6.08984375" bestFit="1" customWidth="1"/>
    <col min="13" max="13" width="20" customWidth="1"/>
    <col min="14" max="14" width="6.1796875" bestFit="1" customWidth="1"/>
    <col min="15" max="15" width="6.08984375" bestFit="1" customWidth="1"/>
    <col min="16" max="16" width="17.6328125" bestFit="1" customWidth="1"/>
    <col min="17" max="17" width="6.1796875" bestFit="1" customWidth="1"/>
    <col min="18" max="18" width="6.08984375" bestFit="1" customWidth="1"/>
    <col min="19" max="19" width="17.6328125" bestFit="1" customWidth="1"/>
    <col min="20" max="20" width="6.1796875" bestFit="1" customWidth="1"/>
    <col min="21" max="21" width="6.08984375" bestFit="1" customWidth="1"/>
    <col min="22" max="22" width="12.6328125" bestFit="1" customWidth="1"/>
    <col min="23" max="23" width="7.1796875" bestFit="1" customWidth="1"/>
    <col min="25" max="25" width="39.36328125" bestFit="1" customWidth="1"/>
  </cols>
  <sheetData>
    <row r="1" spans="1:48" s="1" customFormat="1">
      <c r="A1" s="4" t="s">
        <v>27</v>
      </c>
      <c r="B1" s="4" t="s">
        <v>11</v>
      </c>
      <c r="C1" s="5"/>
      <c r="D1" s="4"/>
      <c r="E1" s="4" t="s">
        <v>13</v>
      </c>
      <c r="F1" s="4"/>
      <c r="G1" s="4"/>
      <c r="H1" s="4" t="s">
        <v>15</v>
      </c>
      <c r="I1" s="4"/>
      <c r="J1" s="4"/>
      <c r="K1" s="4" t="s">
        <v>17</v>
      </c>
      <c r="L1" s="4"/>
      <c r="M1" s="4"/>
      <c r="N1" s="4" t="s">
        <v>19</v>
      </c>
      <c r="O1" s="4"/>
      <c r="P1" s="4"/>
      <c r="Q1" s="4" t="s">
        <v>21</v>
      </c>
      <c r="R1" s="4"/>
      <c r="S1" s="4"/>
      <c r="T1" s="4" t="s">
        <v>23</v>
      </c>
      <c r="U1" s="4"/>
      <c r="V1" s="4"/>
    </row>
    <row r="2" spans="1:48" s="3" customFormat="1">
      <c r="A2" s="21">
        <v>3</v>
      </c>
      <c r="B2" s="6" t="str" cm="1">
        <f t="array" ref="B2">INDEX(KalenderWochen,$A$2,2)</f>
        <v>15.01.</v>
      </c>
      <c r="C2" s="5"/>
      <c r="D2" s="6"/>
      <c r="E2" s="6" t="str" cm="1">
        <f t="array" ref="E2">INDEX(KalenderWochen,$A$2,3)</f>
        <v>16.01.</v>
      </c>
      <c r="F2" s="6"/>
      <c r="G2" s="6"/>
      <c r="H2" s="6" t="str" cm="1">
        <f t="array" ref="H2">INDEX(KalenderWochen,$A$2,4)</f>
        <v>17.01.</v>
      </c>
      <c r="I2" s="6"/>
      <c r="J2" s="6"/>
      <c r="K2" s="6" t="str" cm="1">
        <f t="array" ref="K2">INDEX(KalenderWochen,$A$2,5)</f>
        <v>18.01.</v>
      </c>
      <c r="L2" s="6"/>
      <c r="M2" s="6"/>
      <c r="N2" s="6" t="str" cm="1">
        <f t="array" ref="N2">INDEX(KalenderWochen,$A$2,6)</f>
        <v>19.01.</v>
      </c>
      <c r="O2" s="6"/>
      <c r="P2" s="6"/>
      <c r="Q2" s="6" t="str" cm="1">
        <f t="array" ref="Q2">INDEX(KalenderWochen,$A$2,7)</f>
        <v>20.01.</v>
      </c>
      <c r="R2" s="6"/>
      <c r="S2" s="6"/>
      <c r="T2" s="6" t="str" cm="1">
        <f t="array" ref="T2">INDEX(KalenderWochen,$A$2,8)</f>
        <v>21.01.</v>
      </c>
      <c r="U2" s="6"/>
      <c r="V2" s="6"/>
      <c r="Y2"/>
      <c r="Z2" s="2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1" customFormat="1">
      <c r="A3" s="4"/>
      <c r="B3" s="4" t="s">
        <v>0</v>
      </c>
      <c r="C3" s="7" t="s">
        <v>1</v>
      </c>
      <c r="D3" s="4" t="s">
        <v>2</v>
      </c>
      <c r="E3" s="4" t="s">
        <v>0</v>
      </c>
      <c r="F3" s="4" t="s">
        <v>1</v>
      </c>
      <c r="G3" s="4" t="s">
        <v>2</v>
      </c>
      <c r="H3" s="4" t="s">
        <v>0</v>
      </c>
      <c r="I3" s="4" t="s">
        <v>1</v>
      </c>
      <c r="J3" s="4" t="s">
        <v>2</v>
      </c>
      <c r="K3" s="4" t="s">
        <v>0</v>
      </c>
      <c r="L3" s="4" t="s">
        <v>1</v>
      </c>
      <c r="M3" s="4" t="s">
        <v>2</v>
      </c>
      <c r="N3" s="4" t="s">
        <v>0</v>
      </c>
      <c r="O3" s="4" t="s">
        <v>1</v>
      </c>
      <c r="P3" s="4" t="s">
        <v>2</v>
      </c>
      <c r="Q3" s="4" t="s">
        <v>0</v>
      </c>
      <c r="R3" s="4" t="s">
        <v>1</v>
      </c>
      <c r="S3" s="4" t="s">
        <v>2</v>
      </c>
      <c r="T3" s="4" t="s">
        <v>0</v>
      </c>
      <c r="U3" s="4" t="s">
        <v>1</v>
      </c>
      <c r="V3" s="4" t="s">
        <v>2</v>
      </c>
      <c r="Y3"/>
    </row>
    <row r="4" spans="1:48">
      <c r="A4" s="12"/>
      <c r="B4" s="8"/>
      <c r="C4" s="10" t="str">
        <f>IF(ISBLANK(B5),"",(B5-B4))</f>
        <v/>
      </c>
      <c r="D4" s="9"/>
      <c r="E4" s="8"/>
      <c r="F4" s="10" t="str">
        <f>IF(ISBLANK(E5),"",(E5-E4))</f>
        <v/>
      </c>
      <c r="G4" s="9"/>
      <c r="H4" s="8"/>
      <c r="I4" s="10" t="str">
        <f>IF(ISBLANK(H5),"",(H5-H4))</f>
        <v/>
      </c>
      <c r="J4" s="9"/>
      <c r="K4" s="8"/>
      <c r="L4" s="10" t="str">
        <f>IF(ISBLANK(K5),"",(K5-K4))</f>
        <v/>
      </c>
      <c r="M4" s="9"/>
      <c r="N4" s="8"/>
      <c r="O4" s="10" t="str">
        <f>IF(ISBLANK(N5),"",(N5-N4))</f>
        <v/>
      </c>
      <c r="P4" s="9"/>
      <c r="Q4" s="8"/>
      <c r="R4" s="10" t="str">
        <f>IF(ISBLANK(Q5),"",(Q5-Q4))</f>
        <v/>
      </c>
      <c r="S4" s="9"/>
      <c r="T4" s="8"/>
      <c r="U4" s="10" t="str">
        <f>IF(ISBLANK(T5),"",(T5-T4))</f>
        <v/>
      </c>
      <c r="V4" s="9"/>
      <c r="Z4" s="24"/>
    </row>
    <row r="5" spans="1:48">
      <c r="A5" s="12"/>
      <c r="B5" s="8"/>
      <c r="C5" s="10" t="str">
        <f t="shared" ref="C5:C19" si="0">IF(ISBLANK(B6),"",(B6-B5))</f>
        <v/>
      </c>
      <c r="D5" s="9"/>
      <c r="E5" s="8"/>
      <c r="F5" s="10" t="str">
        <f t="shared" ref="F5:F19" si="1">IF(ISBLANK(E6),"",(E6-E5))</f>
        <v/>
      </c>
      <c r="G5" s="9"/>
      <c r="H5" s="8"/>
      <c r="I5" s="10" t="str">
        <f t="shared" ref="I5:I19" si="2">IF(ISBLANK(H6),"",(H6-H5))</f>
        <v/>
      </c>
      <c r="J5" s="9"/>
      <c r="K5" s="8"/>
      <c r="L5" s="10" t="str">
        <f t="shared" ref="L5:L19" si="3">IF(ISBLANK(K6),"",(K6-K5))</f>
        <v/>
      </c>
      <c r="M5" s="9"/>
      <c r="N5" s="8"/>
      <c r="O5" s="10" t="str">
        <f t="shared" ref="O5:O19" si="4">IF(ISBLANK(N6),"",(N6-N5))</f>
        <v/>
      </c>
      <c r="P5" s="9"/>
      <c r="Q5" s="8"/>
      <c r="R5" s="10" t="str">
        <f t="shared" ref="R5:R19" si="5">IF(ISBLANK(Q6),"",(Q6-Q5))</f>
        <v/>
      </c>
      <c r="S5" s="9"/>
      <c r="T5" s="8"/>
      <c r="U5" s="10" t="str">
        <f t="shared" ref="U5:U19" si="6">IF(ISBLANK(T6),"",(T6-T5))</f>
        <v/>
      </c>
      <c r="V5" s="9"/>
      <c r="Z5" s="24"/>
    </row>
    <row r="6" spans="1:48">
      <c r="A6" s="12"/>
      <c r="B6" s="8"/>
      <c r="C6" s="10" t="str">
        <f t="shared" si="0"/>
        <v/>
      </c>
      <c r="D6" s="9"/>
      <c r="E6" s="8"/>
      <c r="F6" s="10" t="str">
        <f t="shared" si="1"/>
        <v/>
      </c>
      <c r="G6" s="9"/>
      <c r="H6" s="8"/>
      <c r="I6" s="10" t="str">
        <f t="shared" si="2"/>
        <v/>
      </c>
      <c r="J6" s="9"/>
      <c r="K6" s="8"/>
      <c r="L6" s="10" t="str">
        <f t="shared" si="3"/>
        <v/>
      </c>
      <c r="M6" s="9"/>
      <c r="N6" s="8"/>
      <c r="O6" s="10" t="str">
        <f t="shared" si="4"/>
        <v/>
      </c>
      <c r="P6" s="9"/>
      <c r="Q6" s="8"/>
      <c r="R6" s="10" t="str">
        <f t="shared" si="5"/>
        <v/>
      </c>
      <c r="S6" s="9"/>
      <c r="T6" s="8"/>
      <c r="U6" s="10" t="str">
        <f t="shared" si="6"/>
        <v/>
      </c>
      <c r="V6" s="9"/>
      <c r="Z6" s="24"/>
    </row>
    <row r="7" spans="1:48">
      <c r="A7" s="12"/>
      <c r="B7" s="8"/>
      <c r="C7" s="10" t="str">
        <f t="shared" si="0"/>
        <v/>
      </c>
      <c r="D7" s="9"/>
      <c r="E7" s="8"/>
      <c r="F7" s="10" t="str">
        <f t="shared" si="1"/>
        <v/>
      </c>
      <c r="G7" s="9"/>
      <c r="H7" s="8"/>
      <c r="I7" s="10" t="str">
        <f t="shared" si="2"/>
        <v/>
      </c>
      <c r="J7" s="9"/>
      <c r="K7" s="8"/>
      <c r="L7" s="10" t="str">
        <f t="shared" si="3"/>
        <v/>
      </c>
      <c r="M7" s="9"/>
      <c r="N7" s="8"/>
      <c r="O7" s="10" t="str">
        <f t="shared" si="4"/>
        <v/>
      </c>
      <c r="P7" s="9"/>
      <c r="Q7" s="8"/>
      <c r="R7" s="10" t="str">
        <f t="shared" si="5"/>
        <v/>
      </c>
      <c r="S7" s="9"/>
      <c r="T7" s="8"/>
      <c r="U7" s="10" t="str">
        <f t="shared" si="6"/>
        <v/>
      </c>
      <c r="V7" s="9"/>
      <c r="Z7" s="24"/>
    </row>
    <row r="8" spans="1:48">
      <c r="A8" s="12"/>
      <c r="B8" s="8"/>
      <c r="C8" s="10" t="str">
        <f t="shared" si="0"/>
        <v/>
      </c>
      <c r="D8" s="9"/>
      <c r="E8" s="8"/>
      <c r="F8" s="10" t="str">
        <f t="shared" si="1"/>
        <v/>
      </c>
      <c r="G8" s="9"/>
      <c r="H8" s="8"/>
      <c r="I8" s="10" t="str">
        <f t="shared" si="2"/>
        <v/>
      </c>
      <c r="J8" s="9"/>
      <c r="K8" s="8"/>
      <c r="L8" s="10" t="str">
        <f t="shared" si="3"/>
        <v/>
      </c>
      <c r="M8" s="9"/>
      <c r="N8" s="8"/>
      <c r="O8" s="10" t="str">
        <f t="shared" si="4"/>
        <v/>
      </c>
      <c r="P8" s="9"/>
      <c r="Q8" s="8"/>
      <c r="R8" s="10" t="str">
        <f t="shared" si="5"/>
        <v/>
      </c>
      <c r="S8" s="9"/>
      <c r="T8" s="8"/>
      <c r="U8" s="10" t="str">
        <f t="shared" si="6"/>
        <v/>
      </c>
      <c r="V8" s="9"/>
      <c r="Z8" s="24"/>
    </row>
    <row r="9" spans="1:48">
      <c r="A9" s="12"/>
      <c r="B9" s="8"/>
      <c r="C9" s="10" t="str">
        <f t="shared" si="0"/>
        <v/>
      </c>
      <c r="D9" s="9"/>
      <c r="E9" s="8"/>
      <c r="F9" s="10" t="str">
        <f t="shared" si="1"/>
        <v/>
      </c>
      <c r="G9" s="9"/>
      <c r="H9" s="8"/>
      <c r="I9" s="10" t="str">
        <f t="shared" si="2"/>
        <v/>
      </c>
      <c r="J9" s="9"/>
      <c r="K9" s="8"/>
      <c r="L9" s="10" t="str">
        <f t="shared" si="3"/>
        <v/>
      </c>
      <c r="M9" s="9"/>
      <c r="N9" s="8"/>
      <c r="O9" s="10" t="str">
        <f t="shared" si="4"/>
        <v/>
      </c>
      <c r="P9" s="9"/>
      <c r="Q9" s="8"/>
      <c r="R9" s="10" t="str">
        <f t="shared" si="5"/>
        <v/>
      </c>
      <c r="S9" s="9"/>
      <c r="T9" s="8"/>
      <c r="U9" s="10" t="str">
        <f t="shared" si="6"/>
        <v/>
      </c>
      <c r="V9" s="9"/>
      <c r="Z9" s="24"/>
    </row>
    <row r="10" spans="1:48">
      <c r="A10" s="12"/>
      <c r="B10" s="8"/>
      <c r="C10" s="10" t="str">
        <f t="shared" si="0"/>
        <v/>
      </c>
      <c r="D10" s="9"/>
      <c r="E10" s="8"/>
      <c r="F10" s="10" t="str">
        <f t="shared" si="1"/>
        <v/>
      </c>
      <c r="G10" s="9"/>
      <c r="H10" s="8"/>
      <c r="I10" s="10" t="str">
        <f t="shared" si="2"/>
        <v/>
      </c>
      <c r="J10" s="9"/>
      <c r="K10" s="8"/>
      <c r="L10" s="10" t="str">
        <f t="shared" si="3"/>
        <v/>
      </c>
      <c r="M10" s="9"/>
      <c r="N10" s="8"/>
      <c r="O10" s="10" t="str">
        <f t="shared" si="4"/>
        <v/>
      </c>
      <c r="P10" s="9"/>
      <c r="Q10" s="8"/>
      <c r="R10" s="10" t="str">
        <f t="shared" si="5"/>
        <v/>
      </c>
      <c r="S10" s="9"/>
      <c r="T10" s="8"/>
      <c r="U10" s="10" t="str">
        <f t="shared" si="6"/>
        <v/>
      </c>
      <c r="V10" s="9"/>
      <c r="Z10" s="24"/>
    </row>
    <row r="11" spans="1:48">
      <c r="A11" s="12"/>
      <c r="B11" s="8"/>
      <c r="C11" s="10" t="str">
        <f t="shared" si="0"/>
        <v/>
      </c>
      <c r="D11" s="9"/>
      <c r="E11" s="8"/>
      <c r="F11" s="10" t="str">
        <f t="shared" si="1"/>
        <v/>
      </c>
      <c r="G11" s="9"/>
      <c r="H11" s="8"/>
      <c r="I11" s="10" t="str">
        <f t="shared" si="2"/>
        <v/>
      </c>
      <c r="J11" s="9"/>
      <c r="K11" s="8"/>
      <c r="L11" s="10" t="str">
        <f t="shared" si="3"/>
        <v/>
      </c>
      <c r="M11" s="9"/>
      <c r="N11" s="8"/>
      <c r="O11" s="10" t="str">
        <f t="shared" si="4"/>
        <v/>
      </c>
      <c r="P11" s="9"/>
      <c r="Q11" s="8"/>
      <c r="R11" s="10" t="str">
        <f t="shared" si="5"/>
        <v/>
      </c>
      <c r="S11" s="9"/>
      <c r="T11" s="8"/>
      <c r="U11" s="10" t="str">
        <f t="shared" si="6"/>
        <v/>
      </c>
      <c r="V11" s="9"/>
      <c r="Z11" s="24"/>
    </row>
    <row r="12" spans="1:48">
      <c r="A12" s="12"/>
      <c r="B12" s="8"/>
      <c r="C12" s="10" t="str">
        <f t="shared" si="0"/>
        <v/>
      </c>
      <c r="D12" s="9"/>
      <c r="E12" s="8"/>
      <c r="F12" s="10" t="str">
        <f t="shared" si="1"/>
        <v/>
      </c>
      <c r="G12" s="9"/>
      <c r="H12" s="8"/>
      <c r="I12" s="10" t="str">
        <f t="shared" si="2"/>
        <v/>
      </c>
      <c r="J12" s="9"/>
      <c r="K12" s="8"/>
      <c r="L12" s="10" t="str">
        <f t="shared" si="3"/>
        <v/>
      </c>
      <c r="M12" s="9"/>
      <c r="N12" s="8"/>
      <c r="O12" s="10" t="str">
        <f t="shared" si="4"/>
        <v/>
      </c>
      <c r="P12" s="9"/>
      <c r="Q12" s="8"/>
      <c r="R12" s="10" t="str">
        <f t="shared" si="5"/>
        <v/>
      </c>
      <c r="S12" s="9"/>
      <c r="T12" s="8"/>
      <c r="U12" s="10" t="str">
        <f t="shared" si="6"/>
        <v/>
      </c>
      <c r="V12" s="9"/>
      <c r="Z12" s="24"/>
    </row>
    <row r="13" spans="1:48">
      <c r="A13" s="12"/>
      <c r="B13" s="8"/>
      <c r="C13" s="10" t="str">
        <f t="shared" si="0"/>
        <v/>
      </c>
      <c r="D13" s="9"/>
      <c r="E13" s="8"/>
      <c r="F13" s="10" t="str">
        <f t="shared" si="1"/>
        <v/>
      </c>
      <c r="G13" s="9"/>
      <c r="H13" s="8"/>
      <c r="I13" s="10" t="str">
        <f t="shared" si="2"/>
        <v/>
      </c>
      <c r="J13" s="9"/>
      <c r="K13" s="8"/>
      <c r="L13" s="10" t="str">
        <f t="shared" si="3"/>
        <v/>
      </c>
      <c r="M13" s="9"/>
      <c r="N13" s="8"/>
      <c r="O13" s="10" t="str">
        <f t="shared" si="4"/>
        <v/>
      </c>
      <c r="P13" s="9"/>
      <c r="Q13" s="8"/>
      <c r="R13" s="10" t="str">
        <f t="shared" si="5"/>
        <v/>
      </c>
      <c r="S13" s="9"/>
      <c r="T13" s="8"/>
      <c r="U13" s="10" t="str">
        <f t="shared" si="6"/>
        <v/>
      </c>
      <c r="V13" s="9"/>
      <c r="Z13" s="24"/>
    </row>
    <row r="14" spans="1:48">
      <c r="A14" s="12"/>
      <c r="B14" s="8"/>
      <c r="C14" s="10" t="str">
        <f t="shared" si="0"/>
        <v/>
      </c>
      <c r="D14" s="9"/>
      <c r="E14" s="8"/>
      <c r="F14" s="10" t="str">
        <f t="shared" si="1"/>
        <v/>
      </c>
      <c r="G14" s="9"/>
      <c r="H14" s="8"/>
      <c r="I14" s="10" t="str">
        <f t="shared" si="2"/>
        <v/>
      </c>
      <c r="J14" s="9"/>
      <c r="K14" s="8"/>
      <c r="L14" s="10" t="str">
        <f t="shared" si="3"/>
        <v/>
      </c>
      <c r="M14" s="9"/>
      <c r="N14" s="8"/>
      <c r="O14" s="10" t="str">
        <f t="shared" si="4"/>
        <v/>
      </c>
      <c r="P14" s="9"/>
      <c r="Q14" s="8"/>
      <c r="R14" s="10" t="str">
        <f t="shared" si="5"/>
        <v/>
      </c>
      <c r="S14" s="9"/>
      <c r="T14" s="8"/>
      <c r="U14" s="10" t="str">
        <f t="shared" si="6"/>
        <v/>
      </c>
      <c r="V14" s="9"/>
      <c r="Z14" s="24"/>
    </row>
    <row r="15" spans="1:48">
      <c r="A15" s="12"/>
      <c r="B15" s="8"/>
      <c r="C15" s="10" t="str">
        <f t="shared" si="0"/>
        <v/>
      </c>
      <c r="D15" s="9"/>
      <c r="E15" s="8"/>
      <c r="F15" s="10" t="str">
        <f t="shared" si="1"/>
        <v/>
      </c>
      <c r="G15" s="9"/>
      <c r="H15" s="8"/>
      <c r="I15" s="10" t="str">
        <f t="shared" si="2"/>
        <v/>
      </c>
      <c r="J15" s="9"/>
      <c r="K15" s="8"/>
      <c r="L15" s="10" t="str">
        <f t="shared" si="3"/>
        <v/>
      </c>
      <c r="M15" s="9"/>
      <c r="N15" s="8"/>
      <c r="O15" s="10" t="str">
        <f t="shared" si="4"/>
        <v/>
      </c>
      <c r="P15" s="9"/>
      <c r="Q15" s="8"/>
      <c r="R15" s="10" t="str">
        <f t="shared" si="5"/>
        <v/>
      </c>
      <c r="S15" s="9"/>
      <c r="T15" s="8"/>
      <c r="U15" s="10" t="str">
        <f t="shared" si="6"/>
        <v/>
      </c>
      <c r="V15" s="9"/>
      <c r="Z15" s="24"/>
    </row>
    <row r="16" spans="1:48">
      <c r="A16" s="12"/>
      <c r="B16" s="8"/>
      <c r="C16" s="10" t="str">
        <f t="shared" si="0"/>
        <v/>
      </c>
      <c r="D16" s="9"/>
      <c r="E16" s="8"/>
      <c r="F16" s="10" t="str">
        <f t="shared" si="1"/>
        <v/>
      </c>
      <c r="G16" s="9"/>
      <c r="H16" s="8"/>
      <c r="I16" s="10" t="str">
        <f t="shared" si="2"/>
        <v/>
      </c>
      <c r="J16" s="9"/>
      <c r="K16" s="8"/>
      <c r="L16" s="10" t="str">
        <f t="shared" si="3"/>
        <v/>
      </c>
      <c r="M16" s="9"/>
      <c r="N16" s="8"/>
      <c r="O16" s="10" t="str">
        <f t="shared" si="4"/>
        <v/>
      </c>
      <c r="P16" s="9"/>
      <c r="Q16" s="8"/>
      <c r="R16" s="10" t="str">
        <f t="shared" si="5"/>
        <v/>
      </c>
      <c r="S16" s="9"/>
      <c r="T16" s="8"/>
      <c r="U16" s="10" t="str">
        <f t="shared" si="6"/>
        <v/>
      </c>
      <c r="V16" s="9"/>
      <c r="Z16" s="24"/>
    </row>
    <row r="17" spans="1:48">
      <c r="A17" s="12"/>
      <c r="B17" s="8"/>
      <c r="C17" s="10" t="str">
        <f t="shared" si="0"/>
        <v/>
      </c>
      <c r="D17" s="9"/>
      <c r="E17" s="8"/>
      <c r="F17" s="10" t="str">
        <f t="shared" si="1"/>
        <v/>
      </c>
      <c r="G17" s="9"/>
      <c r="H17" s="8"/>
      <c r="I17" s="10" t="str">
        <f t="shared" si="2"/>
        <v/>
      </c>
      <c r="J17" s="9"/>
      <c r="K17" s="8"/>
      <c r="L17" s="10" t="str">
        <f t="shared" si="3"/>
        <v/>
      </c>
      <c r="M17" s="9"/>
      <c r="N17" s="8"/>
      <c r="O17" s="10" t="str">
        <f t="shared" si="4"/>
        <v/>
      </c>
      <c r="P17" s="9"/>
      <c r="Q17" s="8"/>
      <c r="R17" s="10" t="str">
        <f t="shared" si="5"/>
        <v/>
      </c>
      <c r="S17" s="9"/>
      <c r="T17" s="8"/>
      <c r="U17" s="10" t="str">
        <f t="shared" si="6"/>
        <v/>
      </c>
      <c r="V17" s="9"/>
      <c r="Z17" s="24"/>
    </row>
    <row r="18" spans="1:48">
      <c r="A18" s="12"/>
      <c r="B18" s="8"/>
      <c r="C18" s="10" t="str">
        <f t="shared" si="0"/>
        <v/>
      </c>
      <c r="D18" s="9"/>
      <c r="E18" s="8"/>
      <c r="F18" s="10" t="str">
        <f t="shared" si="1"/>
        <v/>
      </c>
      <c r="G18" s="9"/>
      <c r="H18" s="8"/>
      <c r="I18" s="10" t="str">
        <f t="shared" si="2"/>
        <v/>
      </c>
      <c r="J18" s="9"/>
      <c r="K18" s="8"/>
      <c r="L18" s="10" t="str">
        <f t="shared" si="3"/>
        <v/>
      </c>
      <c r="M18" s="9"/>
      <c r="N18" s="8"/>
      <c r="O18" s="10" t="str">
        <f t="shared" si="4"/>
        <v/>
      </c>
      <c r="P18" s="9"/>
      <c r="Q18" s="8"/>
      <c r="R18" s="10" t="str">
        <f t="shared" si="5"/>
        <v/>
      </c>
      <c r="S18" s="9"/>
      <c r="T18" s="8"/>
      <c r="U18" s="10" t="str">
        <f t="shared" si="6"/>
        <v/>
      </c>
      <c r="V18" s="9"/>
      <c r="Z18" s="24"/>
    </row>
    <row r="19" spans="1:48">
      <c r="A19" s="12"/>
      <c r="B19" s="8"/>
      <c r="C19" s="10" t="str">
        <f t="shared" si="0"/>
        <v/>
      </c>
      <c r="D19" s="9"/>
      <c r="E19" s="8"/>
      <c r="F19" s="10" t="str">
        <f t="shared" si="1"/>
        <v/>
      </c>
      <c r="G19" s="9"/>
      <c r="H19" s="8"/>
      <c r="I19" s="10" t="str">
        <f t="shared" si="2"/>
        <v/>
      </c>
      <c r="J19" s="9"/>
      <c r="K19" s="8"/>
      <c r="L19" s="10" t="str">
        <f t="shared" si="3"/>
        <v/>
      </c>
      <c r="M19" s="9"/>
      <c r="N19" s="8"/>
      <c r="O19" s="10" t="str">
        <f t="shared" si="4"/>
        <v/>
      </c>
      <c r="P19" s="9"/>
      <c r="Q19" s="8"/>
      <c r="R19" s="10" t="str">
        <f t="shared" si="5"/>
        <v/>
      </c>
      <c r="S19" s="9"/>
      <c r="T19" s="8"/>
      <c r="U19" s="10" t="str">
        <f t="shared" si="6"/>
        <v/>
      </c>
      <c r="V19" s="9"/>
      <c r="Z19" s="24"/>
    </row>
    <row r="20" spans="1:48">
      <c r="A20" s="12"/>
      <c r="B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W20" t="s">
        <v>25</v>
      </c>
      <c r="Z20" s="24"/>
    </row>
    <row r="21" spans="1:48">
      <c r="A21" s="7" t="s">
        <v>5</v>
      </c>
      <c r="B21" s="19"/>
      <c r="C21" s="13">
        <v>0</v>
      </c>
      <c r="D21" s="13"/>
      <c r="E21" s="13"/>
      <c r="F21" s="13">
        <v>10</v>
      </c>
      <c r="G21" s="13"/>
      <c r="H21" s="13"/>
      <c r="I21" s="13">
        <v>8</v>
      </c>
      <c r="J21" s="13"/>
      <c r="K21" s="13"/>
      <c r="L21" s="13">
        <v>8</v>
      </c>
      <c r="M21" s="13"/>
      <c r="N21" s="13"/>
      <c r="O21" s="13">
        <v>8</v>
      </c>
      <c r="P21" s="13"/>
      <c r="Q21" s="13"/>
      <c r="R21" s="13">
        <v>2</v>
      </c>
      <c r="S21" s="13"/>
      <c r="T21" s="13"/>
      <c r="U21" s="13">
        <f>IF(AND((COUNTIF(V4:V19,"Krank")=0),COUNTIF(V4:V19,"Feiertag")=0),5,0)</f>
        <v>5</v>
      </c>
      <c r="V21" s="19"/>
      <c r="W21" s="13">
        <f>SUM(C21:V21)</f>
        <v>41</v>
      </c>
      <c r="Z21" s="24"/>
    </row>
    <row r="22" spans="1:48" s="2" customFormat="1">
      <c r="A22" s="7" t="s">
        <v>26</v>
      </c>
      <c r="B22" s="13"/>
      <c r="C22" s="13" cm="1">
        <f t="array" ref="C22">SG_SUMHOURS(C4:C19,D4:D19)</f>
        <v>0</v>
      </c>
      <c r="D22" s="19"/>
      <c r="E22" s="13"/>
      <c r="F22" s="13" cm="1">
        <f t="array" ref="F22">SG_SUMHOURS(F4:F19,G4:G19)</f>
        <v>0</v>
      </c>
      <c r="G22" s="13"/>
      <c r="H22" s="13"/>
      <c r="I22" s="13" cm="1">
        <f t="array" ref="I22">SG_SUMHOURS(I4:I19,J4:J19)</f>
        <v>0</v>
      </c>
      <c r="J22" s="13"/>
      <c r="K22" s="13"/>
      <c r="L22" s="13" cm="1">
        <f t="array" ref="L22">SG_SUMHOURS(L4:L19,M4:M19)</f>
        <v>0</v>
      </c>
      <c r="M22" s="13"/>
      <c r="N22" s="13"/>
      <c r="O22" s="13" cm="1">
        <f t="array" ref="O22">SG_SUMHOURS(O4:O19,P4:P19)</f>
        <v>0</v>
      </c>
      <c r="P22" s="13"/>
      <c r="Q22" s="13"/>
      <c r="R22" s="13" cm="1">
        <f t="array" ref="R22">SG_SUMHOURS(R4:R19,S4:S19)</f>
        <v>0</v>
      </c>
      <c r="S22" s="13"/>
      <c r="T22" s="13"/>
      <c r="U22" s="13" cm="1">
        <f t="array" ref="U22">SG_SUMHOURS(U4:U19,V4:V19)</f>
        <v>0</v>
      </c>
      <c r="V22" s="13"/>
      <c r="W22" s="20">
        <f>SUM(C22:V22)</f>
        <v>0</v>
      </c>
      <c r="Z22" s="24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4"/>
      <c r="B23" s="14"/>
      <c r="V23" s="4" t="s">
        <v>389</v>
      </c>
      <c r="W23" s="13">
        <f>W22-W21</f>
        <v>-41</v>
      </c>
      <c r="Z23" s="24"/>
    </row>
    <row r="24" spans="1:48" s="1" customFormat="1">
      <c r="C24" s="11"/>
      <c r="V24" s="4" t="s">
        <v>386</v>
      </c>
      <c r="W24" s="22">
        <v>3.5</v>
      </c>
      <c r="Y24"/>
      <c r="Z24" s="24"/>
    </row>
    <row r="25" spans="1:48">
      <c r="V25" s="4" t="s">
        <v>387</v>
      </c>
      <c r="W25" s="20">
        <f>SUM(W23:W24)</f>
        <v>-37.5</v>
      </c>
      <c r="Z25" s="24"/>
    </row>
    <row r="26" spans="1:48">
      <c r="J26" s="23"/>
      <c r="Z26" s="24"/>
    </row>
    <row r="27" spans="1:48">
      <c r="Z27" s="24"/>
    </row>
    <row r="28" spans="1:48">
      <c r="Z28" s="24"/>
    </row>
  </sheetData>
  <dataValidations count="1">
    <dataValidation type="list" allowBlank="1" showInputMessage="1" showErrorMessage="1" sqref="V4:V19 G4:G19 J4:J19 M4:M19 P4:P19 S4:S19 D4:D19" xr:uid="{A6ABD2A3-ED97-485C-AC37-D0EC51ED345E}">
      <formula1>Tätigkeiten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09A6F-07C9-416A-9106-BCE70EC66E01}">
  <sheetPr codeName="Sheet8"/>
  <dimension ref="A1:AV28"/>
  <sheetViews>
    <sheetView zoomScale="115" zoomScaleNormal="115" workbookViewId="0">
      <selection activeCell="P24" sqref="P24"/>
    </sheetView>
  </sheetViews>
  <sheetFormatPr defaultColWidth="10.90625" defaultRowHeight="14.5"/>
  <cols>
    <col min="1" max="1" width="6.36328125" bestFit="1" customWidth="1"/>
    <col min="2" max="2" width="6.1796875" bestFit="1" customWidth="1"/>
    <col min="3" max="3" width="6.08984375" style="2" bestFit="1" customWidth="1"/>
    <col min="4" max="4" width="15.54296875" customWidth="1"/>
    <col min="5" max="5" width="6.1796875" bestFit="1" customWidth="1"/>
    <col min="6" max="6" width="6.08984375" bestFit="1" customWidth="1"/>
    <col min="7" max="7" width="31.08984375" bestFit="1" customWidth="1"/>
    <col min="8" max="8" width="6.1796875" bestFit="1" customWidth="1"/>
    <col min="9" max="9" width="6.08984375" bestFit="1" customWidth="1"/>
    <col min="10" max="10" width="31.08984375" bestFit="1" customWidth="1"/>
    <col min="11" max="11" width="8" bestFit="1" customWidth="1"/>
    <col min="12" max="12" width="6.08984375" bestFit="1" customWidth="1"/>
    <col min="13" max="13" width="18.1796875" customWidth="1"/>
    <col min="14" max="14" width="6.1796875" bestFit="1" customWidth="1"/>
    <col min="15" max="15" width="6.08984375" bestFit="1" customWidth="1"/>
    <col min="16" max="16" width="17.6328125" bestFit="1" customWidth="1"/>
    <col min="17" max="17" width="6.1796875" bestFit="1" customWidth="1"/>
    <col min="18" max="18" width="6.08984375" bestFit="1" customWidth="1"/>
    <col min="19" max="19" width="17.6328125" bestFit="1" customWidth="1"/>
    <col min="20" max="20" width="6.1796875" bestFit="1" customWidth="1"/>
    <col min="21" max="21" width="6.08984375" bestFit="1" customWidth="1"/>
    <col min="22" max="22" width="12.6328125" bestFit="1" customWidth="1"/>
    <col min="23" max="23" width="7.1796875" bestFit="1" customWidth="1"/>
    <col min="25" max="25" width="39.36328125" bestFit="1" customWidth="1"/>
  </cols>
  <sheetData>
    <row r="1" spans="1:48" s="1" customFormat="1">
      <c r="A1" s="4" t="s">
        <v>27</v>
      </c>
      <c r="B1" s="4" t="s">
        <v>11</v>
      </c>
      <c r="C1" s="5"/>
      <c r="D1" s="4"/>
      <c r="E1" s="4" t="s">
        <v>13</v>
      </c>
      <c r="F1" s="4"/>
      <c r="G1" s="4"/>
      <c r="H1" s="4" t="s">
        <v>15</v>
      </c>
      <c r="I1" s="4"/>
      <c r="J1" s="4"/>
      <c r="K1" s="4" t="s">
        <v>17</v>
      </c>
      <c r="L1" s="4"/>
      <c r="M1" s="4"/>
      <c r="N1" s="4" t="s">
        <v>19</v>
      </c>
      <c r="O1" s="4"/>
      <c r="P1" s="4"/>
      <c r="Q1" s="4" t="s">
        <v>21</v>
      </c>
      <c r="R1" s="4"/>
      <c r="S1" s="4"/>
      <c r="T1" s="4" t="s">
        <v>23</v>
      </c>
      <c r="U1" s="4"/>
      <c r="V1" s="4"/>
    </row>
    <row r="2" spans="1:48" s="3" customFormat="1">
      <c r="A2" s="21">
        <v>4</v>
      </c>
      <c r="B2" s="6" t="str" cm="1">
        <f t="array" ref="B2">INDEX(KalenderWochen,$A$2,2)</f>
        <v>22.01.</v>
      </c>
      <c r="C2" s="5"/>
      <c r="D2" s="6"/>
      <c r="E2" s="6" t="str" cm="1">
        <f t="array" ref="E2">INDEX(KalenderWochen,$A$2,3)</f>
        <v>23.01.</v>
      </c>
      <c r="F2" s="6"/>
      <c r="G2" s="6"/>
      <c r="H2" s="6" t="str" cm="1">
        <f t="array" ref="H2">INDEX(KalenderWochen,$A$2,4)</f>
        <v>24.01.</v>
      </c>
      <c r="I2" s="6"/>
      <c r="J2" s="6"/>
      <c r="K2" s="6" t="str" cm="1">
        <f t="array" ref="K2">INDEX(KalenderWochen,$A$2,5)</f>
        <v>25.01.</v>
      </c>
      <c r="L2" s="6"/>
      <c r="M2" s="6"/>
      <c r="N2" s="6" t="str" cm="1">
        <f t="array" ref="N2">INDEX(KalenderWochen,$A$2,6)</f>
        <v>26.01.</v>
      </c>
      <c r="O2" s="6"/>
      <c r="P2" s="6"/>
      <c r="Q2" s="6" t="str" cm="1">
        <f t="array" ref="Q2">INDEX(KalenderWochen,$A$2,7)</f>
        <v>27.01.</v>
      </c>
      <c r="R2" s="6"/>
      <c r="S2" s="6"/>
      <c r="T2" s="6" t="str" cm="1">
        <f t="array" ref="T2">INDEX(KalenderWochen,$A$2,8)</f>
        <v>28.01.</v>
      </c>
      <c r="U2" s="6"/>
      <c r="V2" s="6"/>
      <c r="Y2"/>
      <c r="Z2" s="2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1" customFormat="1">
      <c r="A3" s="4"/>
      <c r="B3" s="4" t="s">
        <v>0</v>
      </c>
      <c r="C3" s="7" t="s">
        <v>1</v>
      </c>
      <c r="D3" s="4" t="s">
        <v>2</v>
      </c>
      <c r="E3" s="4" t="s">
        <v>0</v>
      </c>
      <c r="F3" s="4" t="s">
        <v>1</v>
      </c>
      <c r="G3" s="4" t="s">
        <v>2</v>
      </c>
      <c r="H3" s="4" t="s">
        <v>0</v>
      </c>
      <c r="I3" s="4" t="s">
        <v>1</v>
      </c>
      <c r="J3" s="4" t="s">
        <v>2</v>
      </c>
      <c r="K3" s="4" t="s">
        <v>0</v>
      </c>
      <c r="L3" s="4" t="s">
        <v>1</v>
      </c>
      <c r="M3" s="4" t="s">
        <v>2</v>
      </c>
      <c r="N3" s="4" t="s">
        <v>0</v>
      </c>
      <c r="O3" s="4" t="s">
        <v>1</v>
      </c>
      <c r="P3" s="4" t="s">
        <v>2</v>
      </c>
      <c r="Q3" s="4" t="s">
        <v>0</v>
      </c>
      <c r="R3" s="4" t="s">
        <v>1</v>
      </c>
      <c r="S3" s="4" t="s">
        <v>2</v>
      </c>
      <c r="T3" s="4" t="s">
        <v>0</v>
      </c>
      <c r="U3" s="4" t="s">
        <v>1</v>
      </c>
      <c r="V3" s="4" t="s">
        <v>2</v>
      </c>
      <c r="Y3"/>
    </row>
    <row r="4" spans="1:48">
      <c r="A4" s="12"/>
      <c r="B4" s="8">
        <v>0.45833333333333331</v>
      </c>
      <c r="C4" s="10">
        <f>IF(ISBLANK(B5),"",(B5-B4))</f>
        <v>8.3333333333333315E-2</v>
      </c>
      <c r="D4" s="9" t="s">
        <v>10</v>
      </c>
      <c r="E4" s="8">
        <v>0.375</v>
      </c>
      <c r="F4" s="10">
        <f>IF(ISBLANK(E5),"",(E5-E4))</f>
        <v>0.125</v>
      </c>
      <c r="G4" s="9" t="s">
        <v>415</v>
      </c>
      <c r="H4" s="8">
        <v>0.375</v>
      </c>
      <c r="I4" s="10">
        <f>IF(ISBLANK(H5),"",(H5-H4))</f>
        <v>0.125</v>
      </c>
      <c r="J4" s="9" t="s">
        <v>415</v>
      </c>
      <c r="K4" s="8">
        <v>0.375</v>
      </c>
      <c r="L4" s="10">
        <f>IF(ISBLANK(K5),"",(K5-K4))</f>
        <v>0.125</v>
      </c>
      <c r="M4" s="9" t="s">
        <v>415</v>
      </c>
      <c r="N4" s="8">
        <v>0.35416666666666669</v>
      </c>
      <c r="O4" s="10">
        <f>IF(ISBLANK(N5),"",(N5-N4))</f>
        <v>4.166666666666663E-2</v>
      </c>
      <c r="P4" s="9" t="s">
        <v>438</v>
      </c>
      <c r="Q4" s="8">
        <v>0.3888888888888889</v>
      </c>
      <c r="R4" s="10">
        <f>IF(ISBLANK(Q5),"",(Q5-Q4))</f>
        <v>0.19444444444444448</v>
      </c>
      <c r="S4" s="9" t="s">
        <v>410</v>
      </c>
      <c r="T4" s="8">
        <v>0.29166666666666669</v>
      </c>
      <c r="U4" s="10">
        <f>IF(ISBLANK(T5),"",(T5-T4))</f>
        <v>6.25E-2</v>
      </c>
      <c r="V4" s="9" t="s">
        <v>438</v>
      </c>
      <c r="Z4" s="24"/>
    </row>
    <row r="5" spans="1:48">
      <c r="A5" s="12"/>
      <c r="B5" s="8">
        <v>0.54166666666666663</v>
      </c>
      <c r="C5" s="10">
        <f t="shared" ref="C5:C19" si="0">IF(ISBLANK(B6),"",(B6-B5))</f>
        <v>8.333333333333337E-2</v>
      </c>
      <c r="D5" s="9" t="s">
        <v>415</v>
      </c>
      <c r="E5" s="8">
        <v>0.5</v>
      </c>
      <c r="F5" s="10">
        <f t="shared" ref="F5:F19" si="1">IF(ISBLANK(E6),"",(E6-E5))</f>
        <v>0.125</v>
      </c>
      <c r="G5" s="9" t="s">
        <v>3</v>
      </c>
      <c r="H5" s="8">
        <v>0.5</v>
      </c>
      <c r="I5" s="10">
        <f t="shared" ref="I5:I19" si="2">IF(ISBLANK(H6),"",(H6-H5))</f>
        <v>0.125</v>
      </c>
      <c r="J5" s="9" t="s">
        <v>3</v>
      </c>
      <c r="K5" s="8">
        <v>0.5</v>
      </c>
      <c r="L5" s="10">
        <f t="shared" ref="L5:L19" si="3">IF(ISBLANK(K6),"",(K6-K5))</f>
        <v>4.166666666666663E-2</v>
      </c>
      <c r="M5" s="9" t="s">
        <v>3</v>
      </c>
      <c r="N5" s="8">
        <v>0.39583333333333331</v>
      </c>
      <c r="O5" s="10">
        <f t="shared" ref="O5:O19" si="4">IF(ISBLANK(N6),"",(N6-N5))</f>
        <v>0.10416666666666669</v>
      </c>
      <c r="P5" s="9" t="s">
        <v>433</v>
      </c>
      <c r="Q5" s="8">
        <v>0.58333333333333337</v>
      </c>
      <c r="R5" s="10">
        <f t="shared" ref="R5:R19" si="5">IF(ISBLANK(Q6),"",(Q6-Q5))</f>
        <v>0.1875</v>
      </c>
      <c r="S5" s="9" t="s">
        <v>3</v>
      </c>
      <c r="T5" s="8">
        <v>0.35416666666666669</v>
      </c>
      <c r="U5" s="10">
        <f t="shared" ref="U5:U19" si="6">IF(ISBLANK(T6),"",(T6-T5))</f>
        <v>0.16666666666666669</v>
      </c>
      <c r="V5" s="9" t="s">
        <v>437</v>
      </c>
      <c r="Z5" s="24"/>
    </row>
    <row r="6" spans="1:48">
      <c r="A6" s="12"/>
      <c r="B6" s="8">
        <v>0.625</v>
      </c>
      <c r="C6" s="10">
        <f t="shared" si="0"/>
        <v>4.166666666666663E-2</v>
      </c>
      <c r="D6" s="9" t="s">
        <v>3</v>
      </c>
      <c r="E6" s="8">
        <v>0.625</v>
      </c>
      <c r="F6" s="10">
        <f t="shared" si="1"/>
        <v>0.25</v>
      </c>
      <c r="G6" s="9" t="s">
        <v>415</v>
      </c>
      <c r="H6" s="8">
        <v>0.625</v>
      </c>
      <c r="I6" s="10">
        <f t="shared" si="2"/>
        <v>0.29166666666666663</v>
      </c>
      <c r="J6" s="9" t="s">
        <v>415</v>
      </c>
      <c r="K6" s="8">
        <v>0.54166666666666663</v>
      </c>
      <c r="L6" s="10">
        <f t="shared" si="3"/>
        <v>0.10416666666666674</v>
      </c>
      <c r="M6" s="9" t="s">
        <v>415</v>
      </c>
      <c r="N6" s="8">
        <v>0.5</v>
      </c>
      <c r="O6" s="10">
        <f t="shared" si="4"/>
        <v>4.166666666666663E-2</v>
      </c>
      <c r="P6" s="9" t="s">
        <v>3</v>
      </c>
      <c r="Q6" s="8">
        <v>0.77083333333333337</v>
      </c>
      <c r="R6" s="10">
        <f t="shared" si="5"/>
        <v>1.041666666666663E-2</v>
      </c>
      <c r="S6" s="9" t="s">
        <v>411</v>
      </c>
      <c r="T6" s="8">
        <v>0.52083333333333337</v>
      </c>
      <c r="U6" s="10" t="str">
        <f t="shared" si="6"/>
        <v/>
      </c>
      <c r="V6" s="9"/>
      <c r="Z6" s="24"/>
    </row>
    <row r="7" spans="1:48">
      <c r="A7" s="12"/>
      <c r="B7" s="8">
        <v>0.66666666666666663</v>
      </c>
      <c r="C7" s="10">
        <f t="shared" si="0"/>
        <v>0.25</v>
      </c>
      <c r="D7" s="9" t="s">
        <v>415</v>
      </c>
      <c r="E7" s="8">
        <v>0.875</v>
      </c>
      <c r="F7" s="10" t="str">
        <f t="shared" si="1"/>
        <v/>
      </c>
      <c r="G7" s="9"/>
      <c r="H7" s="8">
        <v>0.91666666666666663</v>
      </c>
      <c r="I7" s="10" t="str">
        <f t="shared" si="2"/>
        <v/>
      </c>
      <c r="J7" s="9"/>
      <c r="K7" s="8">
        <v>0.64583333333333337</v>
      </c>
      <c r="L7" s="10">
        <f t="shared" si="3"/>
        <v>6.25E-2</v>
      </c>
      <c r="M7" s="9" t="s">
        <v>10</v>
      </c>
      <c r="N7" s="8">
        <v>0.54166666666666663</v>
      </c>
      <c r="O7" s="10">
        <f t="shared" si="4"/>
        <v>9.375E-2</v>
      </c>
      <c r="P7" s="9" t="s">
        <v>424</v>
      </c>
      <c r="Q7" s="8">
        <v>0.78125</v>
      </c>
      <c r="R7" s="10">
        <f t="shared" si="5"/>
        <v>0.17708333333333337</v>
      </c>
      <c r="S7" s="9" t="s">
        <v>438</v>
      </c>
      <c r="T7" s="8"/>
      <c r="U7" s="10" t="str">
        <f t="shared" si="6"/>
        <v/>
      </c>
      <c r="V7" s="9"/>
      <c r="Z7" s="24"/>
    </row>
    <row r="8" spans="1:48">
      <c r="A8" s="12"/>
      <c r="B8" s="8">
        <v>0.91666666666666663</v>
      </c>
      <c r="C8" s="10" t="str">
        <f t="shared" si="0"/>
        <v/>
      </c>
      <c r="D8" s="9"/>
      <c r="E8" s="8"/>
      <c r="F8" s="10" t="str">
        <f t="shared" si="1"/>
        <v/>
      </c>
      <c r="G8" s="9"/>
      <c r="H8" s="8"/>
      <c r="I8" s="10" t="str">
        <f t="shared" si="2"/>
        <v/>
      </c>
      <c r="J8" s="9"/>
      <c r="K8" s="8">
        <v>0.70833333333333337</v>
      </c>
      <c r="L8" s="10">
        <f t="shared" si="3"/>
        <v>7.291666666666663E-2</v>
      </c>
      <c r="M8" s="9" t="s">
        <v>3</v>
      </c>
      <c r="N8" s="8">
        <v>0.63541666666666663</v>
      </c>
      <c r="O8" s="10">
        <f t="shared" si="4"/>
        <v>0.16666666666666674</v>
      </c>
      <c r="P8" s="9" t="s">
        <v>3</v>
      </c>
      <c r="Q8" s="8">
        <v>0.95833333333333337</v>
      </c>
      <c r="R8" s="10" t="str">
        <f t="shared" si="5"/>
        <v/>
      </c>
      <c r="S8" s="9"/>
      <c r="T8" s="8"/>
      <c r="U8" s="10" t="str">
        <f t="shared" si="6"/>
        <v/>
      </c>
      <c r="V8" s="9"/>
      <c r="Z8" s="24"/>
    </row>
    <row r="9" spans="1:48">
      <c r="A9" s="12"/>
      <c r="B9" s="8"/>
      <c r="C9" s="10" t="str">
        <f t="shared" si="0"/>
        <v/>
      </c>
      <c r="D9" s="9"/>
      <c r="E9" s="8"/>
      <c r="F9" s="10" t="str">
        <f t="shared" si="1"/>
        <v/>
      </c>
      <c r="G9" s="9"/>
      <c r="H9" s="8"/>
      <c r="I9" s="10" t="str">
        <f t="shared" si="2"/>
        <v/>
      </c>
      <c r="J9" s="9"/>
      <c r="K9" s="8">
        <v>0.78125</v>
      </c>
      <c r="L9" s="10">
        <f t="shared" si="3"/>
        <v>1.041666666666663E-2</v>
      </c>
      <c r="M9" s="9" t="s">
        <v>10</v>
      </c>
      <c r="N9" s="8">
        <v>0.80208333333333337</v>
      </c>
      <c r="O9" s="10">
        <f t="shared" si="4"/>
        <v>9.375E-2</v>
      </c>
      <c r="P9" s="9" t="s">
        <v>410</v>
      </c>
      <c r="Q9" s="8"/>
      <c r="R9" s="10" t="str">
        <f t="shared" si="5"/>
        <v/>
      </c>
      <c r="S9" s="9"/>
      <c r="T9" s="8"/>
      <c r="U9" s="10" t="str">
        <f t="shared" si="6"/>
        <v/>
      </c>
      <c r="V9" s="9"/>
      <c r="Z9" s="24"/>
    </row>
    <row r="10" spans="1:48">
      <c r="A10" s="12"/>
      <c r="B10" s="8"/>
      <c r="C10" s="10" t="str">
        <f t="shared" si="0"/>
        <v/>
      </c>
      <c r="D10" s="9"/>
      <c r="E10" s="8"/>
      <c r="F10" s="10" t="str">
        <f t="shared" si="1"/>
        <v/>
      </c>
      <c r="G10" s="9"/>
      <c r="H10" s="8"/>
      <c r="I10" s="10" t="str">
        <f t="shared" si="2"/>
        <v/>
      </c>
      <c r="J10" s="9"/>
      <c r="K10" s="8">
        <v>0.79166666666666663</v>
      </c>
      <c r="L10" s="10">
        <f t="shared" si="3"/>
        <v>0.10416666666666674</v>
      </c>
      <c r="M10" s="9" t="s">
        <v>417</v>
      </c>
      <c r="N10" s="8">
        <v>0.89583333333333337</v>
      </c>
      <c r="O10" s="10" t="str">
        <f t="shared" si="4"/>
        <v/>
      </c>
      <c r="P10" s="9"/>
      <c r="Q10" s="8"/>
      <c r="R10" s="10" t="str">
        <f t="shared" si="5"/>
        <v/>
      </c>
      <c r="S10" s="9"/>
      <c r="T10" s="8"/>
      <c r="U10" s="10" t="str">
        <f t="shared" si="6"/>
        <v/>
      </c>
      <c r="V10" s="9"/>
      <c r="Z10" s="24"/>
    </row>
    <row r="11" spans="1:48">
      <c r="A11" s="12"/>
      <c r="B11" s="8"/>
      <c r="C11" s="10" t="str">
        <f t="shared" si="0"/>
        <v/>
      </c>
      <c r="D11" s="9"/>
      <c r="E11" s="8"/>
      <c r="F11" s="10" t="str">
        <f t="shared" si="1"/>
        <v/>
      </c>
      <c r="G11" s="9"/>
      <c r="H11" s="8"/>
      <c r="I11" s="10" t="str">
        <f t="shared" si="2"/>
        <v/>
      </c>
      <c r="J11" s="9"/>
      <c r="K11" s="8">
        <v>0.89583333333333337</v>
      </c>
      <c r="L11" s="10">
        <f t="shared" si="3"/>
        <v>1.041666666666663E-2</v>
      </c>
      <c r="M11" s="9" t="s">
        <v>10</v>
      </c>
      <c r="N11" s="8"/>
      <c r="O11" s="10" t="str">
        <f t="shared" si="4"/>
        <v/>
      </c>
      <c r="P11" s="9"/>
      <c r="Q11" s="8"/>
      <c r="R11" s="10" t="str">
        <f t="shared" si="5"/>
        <v/>
      </c>
      <c r="S11" s="9"/>
      <c r="T11" s="8"/>
      <c r="U11" s="10" t="str">
        <f t="shared" si="6"/>
        <v/>
      </c>
      <c r="V11" s="9"/>
      <c r="Z11" s="24"/>
    </row>
    <row r="12" spans="1:48">
      <c r="A12" s="12"/>
      <c r="B12" s="8"/>
      <c r="C12" s="10" t="str">
        <f t="shared" si="0"/>
        <v/>
      </c>
      <c r="D12" s="9"/>
      <c r="E12" s="8"/>
      <c r="F12" s="10" t="str">
        <f t="shared" si="1"/>
        <v/>
      </c>
      <c r="G12" s="9"/>
      <c r="H12" s="8"/>
      <c r="I12" s="10" t="str">
        <f t="shared" si="2"/>
        <v/>
      </c>
      <c r="J12" s="9"/>
      <c r="K12" s="8">
        <v>0.90625</v>
      </c>
      <c r="L12" s="10" t="str">
        <f t="shared" si="3"/>
        <v/>
      </c>
      <c r="M12" s="9"/>
      <c r="N12" s="8"/>
      <c r="O12" s="10" t="str">
        <f t="shared" si="4"/>
        <v/>
      </c>
      <c r="P12" s="9"/>
      <c r="Q12" s="8"/>
      <c r="R12" s="10" t="str">
        <f t="shared" si="5"/>
        <v/>
      </c>
      <c r="S12" s="9"/>
      <c r="T12" s="8"/>
      <c r="U12" s="10" t="str">
        <f t="shared" si="6"/>
        <v/>
      </c>
      <c r="V12" s="9"/>
      <c r="Z12" s="24"/>
    </row>
    <row r="13" spans="1:48">
      <c r="A13" s="12"/>
      <c r="B13" s="8"/>
      <c r="C13" s="10" t="str">
        <f t="shared" si="0"/>
        <v/>
      </c>
      <c r="D13" s="9"/>
      <c r="E13" s="8"/>
      <c r="F13" s="10" t="str">
        <f t="shared" si="1"/>
        <v/>
      </c>
      <c r="G13" s="9"/>
      <c r="H13" s="8"/>
      <c r="I13" s="10" t="str">
        <f t="shared" si="2"/>
        <v/>
      </c>
      <c r="J13" s="9"/>
      <c r="K13" s="8"/>
      <c r="L13" s="10" t="str">
        <f t="shared" si="3"/>
        <v/>
      </c>
      <c r="M13" s="9"/>
      <c r="N13" s="8"/>
      <c r="O13" s="10" t="str">
        <f t="shared" si="4"/>
        <v/>
      </c>
      <c r="P13" s="9"/>
      <c r="Q13" s="8"/>
      <c r="R13" s="10" t="str">
        <f t="shared" si="5"/>
        <v/>
      </c>
      <c r="S13" s="9"/>
      <c r="T13" s="8"/>
      <c r="U13" s="10" t="str">
        <f t="shared" si="6"/>
        <v/>
      </c>
      <c r="V13" s="9"/>
      <c r="Z13" s="24"/>
    </row>
    <row r="14" spans="1:48">
      <c r="A14" s="12"/>
      <c r="B14" s="8"/>
      <c r="C14" s="10" t="str">
        <f t="shared" si="0"/>
        <v/>
      </c>
      <c r="D14" s="9"/>
      <c r="E14" s="8"/>
      <c r="F14" s="10" t="str">
        <f t="shared" si="1"/>
        <v/>
      </c>
      <c r="G14" s="9"/>
      <c r="H14" s="8"/>
      <c r="I14" s="10" t="str">
        <f t="shared" si="2"/>
        <v/>
      </c>
      <c r="J14" s="9"/>
      <c r="K14" s="8"/>
      <c r="L14" s="10" t="str">
        <f t="shared" si="3"/>
        <v/>
      </c>
      <c r="M14" s="9"/>
      <c r="N14" s="8"/>
      <c r="O14" s="10" t="str">
        <f t="shared" si="4"/>
        <v/>
      </c>
      <c r="P14" s="9"/>
      <c r="Q14" s="8"/>
      <c r="R14" s="10" t="str">
        <f t="shared" si="5"/>
        <v/>
      </c>
      <c r="S14" s="9"/>
      <c r="T14" s="8"/>
      <c r="U14" s="10" t="str">
        <f t="shared" si="6"/>
        <v/>
      </c>
      <c r="V14" s="9"/>
      <c r="Z14" s="24"/>
    </row>
    <row r="15" spans="1:48">
      <c r="A15" s="12"/>
      <c r="B15" s="8"/>
      <c r="C15" s="10" t="str">
        <f t="shared" si="0"/>
        <v/>
      </c>
      <c r="D15" s="9"/>
      <c r="E15" s="8"/>
      <c r="F15" s="10" t="str">
        <f t="shared" si="1"/>
        <v/>
      </c>
      <c r="G15" s="9"/>
      <c r="H15" s="8"/>
      <c r="I15" s="10" t="str">
        <f t="shared" si="2"/>
        <v/>
      </c>
      <c r="J15" s="9"/>
      <c r="K15" s="8"/>
      <c r="L15" s="10" t="str">
        <f t="shared" si="3"/>
        <v/>
      </c>
      <c r="M15" s="9"/>
      <c r="N15" s="8"/>
      <c r="O15" s="10" t="str">
        <f t="shared" si="4"/>
        <v/>
      </c>
      <c r="P15" s="9"/>
      <c r="Q15" s="8"/>
      <c r="R15" s="10" t="str">
        <f t="shared" si="5"/>
        <v/>
      </c>
      <c r="S15" s="9"/>
      <c r="T15" s="8"/>
      <c r="U15" s="10" t="str">
        <f t="shared" si="6"/>
        <v/>
      </c>
      <c r="V15" s="9"/>
      <c r="Z15" s="24"/>
    </row>
    <row r="16" spans="1:48">
      <c r="A16" s="12"/>
      <c r="B16" s="8"/>
      <c r="C16" s="10" t="str">
        <f t="shared" si="0"/>
        <v/>
      </c>
      <c r="D16" s="9"/>
      <c r="E16" s="8"/>
      <c r="F16" s="10" t="str">
        <f t="shared" si="1"/>
        <v/>
      </c>
      <c r="G16" s="9"/>
      <c r="H16" s="8"/>
      <c r="I16" s="10" t="str">
        <f t="shared" si="2"/>
        <v/>
      </c>
      <c r="J16" s="9"/>
      <c r="K16" s="8"/>
      <c r="L16" s="10" t="str">
        <f t="shared" si="3"/>
        <v/>
      </c>
      <c r="M16" s="9"/>
      <c r="N16" s="8"/>
      <c r="O16" s="10" t="str">
        <f t="shared" si="4"/>
        <v/>
      </c>
      <c r="P16" s="9"/>
      <c r="Q16" s="8"/>
      <c r="R16" s="10" t="str">
        <f t="shared" si="5"/>
        <v/>
      </c>
      <c r="S16" s="9"/>
      <c r="T16" s="8"/>
      <c r="U16" s="10" t="str">
        <f t="shared" si="6"/>
        <v/>
      </c>
      <c r="V16" s="9"/>
      <c r="Z16" s="24"/>
    </row>
    <row r="17" spans="1:48">
      <c r="A17" s="12"/>
      <c r="B17" s="8"/>
      <c r="C17" s="10" t="str">
        <f t="shared" si="0"/>
        <v/>
      </c>
      <c r="D17" s="9"/>
      <c r="E17" s="8"/>
      <c r="F17" s="10" t="str">
        <f t="shared" si="1"/>
        <v/>
      </c>
      <c r="G17" s="9"/>
      <c r="H17" s="8"/>
      <c r="I17" s="10" t="str">
        <f t="shared" si="2"/>
        <v/>
      </c>
      <c r="J17" s="9"/>
      <c r="K17" s="8"/>
      <c r="L17" s="10" t="str">
        <f t="shared" si="3"/>
        <v/>
      </c>
      <c r="M17" s="9"/>
      <c r="N17" s="8"/>
      <c r="O17" s="10" t="str">
        <f t="shared" si="4"/>
        <v/>
      </c>
      <c r="P17" s="9"/>
      <c r="Q17" s="8"/>
      <c r="R17" s="10" t="str">
        <f t="shared" si="5"/>
        <v/>
      </c>
      <c r="S17" s="9"/>
      <c r="T17" s="8"/>
      <c r="U17" s="10" t="str">
        <f t="shared" si="6"/>
        <v/>
      </c>
      <c r="V17" s="9"/>
      <c r="Z17" s="24"/>
    </row>
    <row r="18" spans="1:48">
      <c r="A18" s="12"/>
      <c r="B18" s="8"/>
      <c r="C18" s="10" t="str">
        <f t="shared" si="0"/>
        <v/>
      </c>
      <c r="D18" s="9"/>
      <c r="E18" s="8"/>
      <c r="F18" s="10" t="str">
        <f t="shared" si="1"/>
        <v/>
      </c>
      <c r="G18" s="9"/>
      <c r="H18" s="8"/>
      <c r="I18" s="10" t="str">
        <f t="shared" si="2"/>
        <v/>
      </c>
      <c r="J18" s="9"/>
      <c r="K18" s="8"/>
      <c r="L18" s="10" t="str">
        <f t="shared" si="3"/>
        <v/>
      </c>
      <c r="M18" s="9"/>
      <c r="N18" s="8"/>
      <c r="O18" s="10" t="str">
        <f t="shared" si="4"/>
        <v/>
      </c>
      <c r="P18" s="9"/>
      <c r="Q18" s="8"/>
      <c r="R18" s="10" t="str">
        <f t="shared" si="5"/>
        <v/>
      </c>
      <c r="S18" s="9"/>
      <c r="T18" s="8"/>
      <c r="U18" s="10" t="str">
        <f t="shared" si="6"/>
        <v/>
      </c>
      <c r="V18" s="9"/>
      <c r="Z18" s="24"/>
    </row>
    <row r="19" spans="1:48">
      <c r="A19" s="12"/>
      <c r="B19" s="8"/>
      <c r="C19" s="10" t="str">
        <f t="shared" si="0"/>
        <v/>
      </c>
      <c r="D19" s="9"/>
      <c r="E19" s="8"/>
      <c r="F19" s="10" t="str">
        <f t="shared" si="1"/>
        <v/>
      </c>
      <c r="G19" s="9"/>
      <c r="H19" s="8"/>
      <c r="I19" s="10" t="str">
        <f t="shared" si="2"/>
        <v/>
      </c>
      <c r="J19" s="9"/>
      <c r="K19" s="8"/>
      <c r="L19" s="10" t="str">
        <f t="shared" si="3"/>
        <v/>
      </c>
      <c r="M19" s="9"/>
      <c r="N19" s="8"/>
      <c r="O19" s="10" t="str">
        <f t="shared" si="4"/>
        <v/>
      </c>
      <c r="P19" s="9"/>
      <c r="Q19" s="8"/>
      <c r="R19" s="10" t="str">
        <f t="shared" si="5"/>
        <v/>
      </c>
      <c r="S19" s="9"/>
      <c r="T19" s="8"/>
      <c r="U19" s="10" t="str">
        <f t="shared" si="6"/>
        <v/>
      </c>
      <c r="V19" s="9"/>
      <c r="Z19" s="24"/>
    </row>
    <row r="20" spans="1:48">
      <c r="A20" s="12"/>
      <c r="B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W20" t="s">
        <v>25</v>
      </c>
      <c r="Z20" s="24"/>
    </row>
    <row r="21" spans="1:48">
      <c r="A21" s="7" t="s">
        <v>5</v>
      </c>
      <c r="B21" s="19"/>
      <c r="C21" s="13">
        <v>0</v>
      </c>
      <c r="D21" s="13"/>
      <c r="E21" s="13"/>
      <c r="F21" s="13">
        <v>10</v>
      </c>
      <c r="G21" s="13"/>
      <c r="H21" s="13"/>
      <c r="I21" s="13">
        <v>8</v>
      </c>
      <c r="J21" s="13"/>
      <c r="K21" s="13"/>
      <c r="L21" s="13">
        <v>8</v>
      </c>
      <c r="M21" s="13"/>
      <c r="N21" s="13"/>
      <c r="O21" s="13">
        <v>8</v>
      </c>
      <c r="P21" s="13"/>
      <c r="Q21" s="13"/>
      <c r="R21" s="13">
        <v>2</v>
      </c>
      <c r="S21" s="13"/>
      <c r="T21" s="13"/>
      <c r="U21" s="13">
        <f>IF(AND((COUNTIF(V4:V19,"Krank")=0),COUNTIF(V4:V19,"Feiertag")=0),5,0)</f>
        <v>5</v>
      </c>
      <c r="V21" s="19"/>
      <c r="W21" s="13">
        <f>SUM(C21:V21)</f>
        <v>41</v>
      </c>
      <c r="Z21" s="24"/>
    </row>
    <row r="22" spans="1:48" s="2" customFormat="1">
      <c r="A22" s="7" t="s">
        <v>26</v>
      </c>
      <c r="B22" s="13"/>
      <c r="C22" s="13" cm="1">
        <f t="array" ref="C22">SG_SUMHOURS(C4:C19,D4:D19)</f>
        <v>10</v>
      </c>
      <c r="D22" s="19"/>
      <c r="E22" s="13"/>
      <c r="F22" s="13" cm="1">
        <f t="array" ref="F22">SG_SUMHOURS(F4:F19,G4:G19)</f>
        <v>9</v>
      </c>
      <c r="G22" s="13"/>
      <c r="H22" s="13"/>
      <c r="I22" s="13" cm="1">
        <f t="array" ref="I22">SG_SUMHOURS(I4:I19,J4:J19)</f>
        <v>10</v>
      </c>
      <c r="J22" s="13"/>
      <c r="K22" s="13"/>
      <c r="L22" s="13" cm="1">
        <f t="array" ref="L22">SG_SUMHOURS(L4:L19,M4:M19)</f>
        <v>10.000000000000004</v>
      </c>
      <c r="M22" s="13"/>
      <c r="N22" s="13"/>
      <c r="O22" s="13" cm="1">
        <f t="array" ref="O22">SG_SUMHOURS(O4:O19,P4:P19)</f>
        <v>8</v>
      </c>
      <c r="P22" s="13"/>
      <c r="Q22" s="13"/>
      <c r="R22" s="13" cm="1">
        <f t="array" ref="R22">SG_SUMHOURS(R4:R19,S4:S19)</f>
        <v>9.1666666666666679</v>
      </c>
      <c r="S22" s="13"/>
      <c r="T22" s="13"/>
      <c r="U22" s="13" cm="1">
        <f t="array" ref="U22">SG_SUMHOURS(U4:U19,V4:V19)</f>
        <v>5.5</v>
      </c>
      <c r="V22" s="13"/>
      <c r="W22" s="20">
        <f>SUM(C22:V22)</f>
        <v>61.666666666666671</v>
      </c>
      <c r="Z22" s="24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4"/>
      <c r="B23" s="14"/>
      <c r="V23" s="4" t="s">
        <v>389</v>
      </c>
      <c r="W23" s="13">
        <f>W22-W21</f>
        <v>20.666666666666671</v>
      </c>
      <c r="Z23" s="24"/>
    </row>
    <row r="24" spans="1:48" s="1" customFormat="1">
      <c r="C24" s="11"/>
      <c r="O24"/>
      <c r="P24" t="s">
        <v>453</v>
      </c>
      <c r="Q24"/>
      <c r="R24"/>
      <c r="S24" t="s">
        <v>453</v>
      </c>
      <c r="T24"/>
      <c r="V24" s="4" t="s">
        <v>386</v>
      </c>
      <c r="W24" s="22">
        <v>-3.7</v>
      </c>
      <c r="Y24"/>
      <c r="Z24" s="24"/>
    </row>
    <row r="25" spans="1:48">
      <c r="V25" s="4" t="s">
        <v>387</v>
      </c>
      <c r="W25" s="20">
        <f>SUM(W23:W24)</f>
        <v>16.966666666666672</v>
      </c>
      <c r="Z25" s="24"/>
    </row>
    <row r="26" spans="1:48">
      <c r="J26" s="23"/>
      <c r="Z26" s="24"/>
    </row>
    <row r="27" spans="1:48">
      <c r="Z27" s="24"/>
    </row>
    <row r="28" spans="1:48">
      <c r="Z28" s="24"/>
    </row>
  </sheetData>
  <dataValidations count="1">
    <dataValidation type="list" allowBlank="1" showInputMessage="1" showErrorMessage="1" sqref="V4:V19 G4:G19 J4:J19 M4:M19 P4:P19 S4:S19 D4:D19" xr:uid="{EAFD42C5-0755-4A19-B14E-684D194DE605}">
      <formula1>Tätigkeiten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4AF85-54F8-4564-8326-66B2E820A134}">
  <sheetPr codeName="Sheet9"/>
  <dimension ref="A1:AV28"/>
  <sheetViews>
    <sheetView zoomScale="115" zoomScaleNormal="115" workbookViewId="0">
      <selection activeCell="M29" sqref="M29"/>
    </sheetView>
  </sheetViews>
  <sheetFormatPr defaultColWidth="10.90625" defaultRowHeight="14.5"/>
  <cols>
    <col min="1" max="1" width="6.36328125" bestFit="1" customWidth="1"/>
    <col min="2" max="2" width="6.1796875" bestFit="1" customWidth="1"/>
    <col min="3" max="3" width="6.08984375" style="2" bestFit="1" customWidth="1"/>
    <col min="4" max="4" width="7.36328125" customWidth="1"/>
    <col min="5" max="5" width="6.1796875" bestFit="1" customWidth="1"/>
    <col min="6" max="6" width="6.08984375" bestFit="1" customWidth="1"/>
    <col min="7" max="7" width="31.08984375" bestFit="1" customWidth="1"/>
    <col min="8" max="8" width="6.1796875" bestFit="1" customWidth="1"/>
    <col min="9" max="9" width="6.08984375" bestFit="1" customWidth="1"/>
    <col min="10" max="10" width="31.08984375" bestFit="1" customWidth="1"/>
    <col min="11" max="11" width="8" bestFit="1" customWidth="1"/>
    <col min="12" max="12" width="6.08984375" bestFit="1" customWidth="1"/>
    <col min="13" max="13" width="14.90625" customWidth="1"/>
    <col min="14" max="14" width="6.1796875" bestFit="1" customWidth="1"/>
    <col min="15" max="15" width="6.08984375" bestFit="1" customWidth="1"/>
    <col min="16" max="16" width="25.54296875" customWidth="1"/>
    <col min="17" max="17" width="6.1796875" bestFit="1" customWidth="1"/>
    <col min="18" max="18" width="6.08984375" bestFit="1" customWidth="1"/>
    <col min="19" max="19" width="17.6328125" bestFit="1" customWidth="1"/>
    <col min="20" max="20" width="6.1796875" bestFit="1" customWidth="1"/>
    <col min="21" max="21" width="6.08984375" bestFit="1" customWidth="1"/>
    <col min="22" max="22" width="12.6328125" bestFit="1" customWidth="1"/>
    <col min="23" max="23" width="7.1796875" bestFit="1" customWidth="1"/>
    <col min="25" max="25" width="39.36328125" bestFit="1" customWidth="1"/>
  </cols>
  <sheetData>
    <row r="1" spans="1:48" s="1" customFormat="1">
      <c r="A1" s="4" t="s">
        <v>27</v>
      </c>
      <c r="B1" s="4" t="s">
        <v>11</v>
      </c>
      <c r="C1" s="5"/>
      <c r="D1" s="4"/>
      <c r="E1" s="4" t="s">
        <v>13</v>
      </c>
      <c r="F1" s="4"/>
      <c r="G1" s="4"/>
      <c r="H1" s="4" t="s">
        <v>15</v>
      </c>
      <c r="I1" s="4"/>
      <c r="J1" s="4"/>
      <c r="K1" s="4" t="s">
        <v>17</v>
      </c>
      <c r="L1" s="4"/>
      <c r="M1" s="4"/>
      <c r="N1" s="4" t="s">
        <v>19</v>
      </c>
      <c r="O1" s="4"/>
      <c r="P1" s="4"/>
      <c r="Q1" s="4" t="s">
        <v>21</v>
      </c>
      <c r="R1" s="4"/>
      <c r="S1" s="4"/>
      <c r="T1" s="4" t="s">
        <v>23</v>
      </c>
      <c r="U1" s="4"/>
      <c r="V1" s="4"/>
    </row>
    <row r="2" spans="1:48" s="3" customFormat="1">
      <c r="A2" s="21">
        <v>5</v>
      </c>
      <c r="B2" s="6" t="str" cm="1">
        <f t="array" ref="B2">INDEX(KalenderWochen,$A$2,2)</f>
        <v>29.01.</v>
      </c>
      <c r="C2" s="5"/>
      <c r="D2" s="6"/>
      <c r="E2" s="6" t="str" cm="1">
        <f t="array" ref="E2">INDEX(KalenderWochen,$A$2,3)</f>
        <v>30.01.</v>
      </c>
      <c r="F2" s="6"/>
      <c r="G2" s="6"/>
      <c r="H2" s="6" t="str" cm="1">
        <f t="array" ref="H2">INDEX(KalenderWochen,$A$2,4)</f>
        <v>31.01.</v>
      </c>
      <c r="I2" s="6"/>
      <c r="J2" s="6"/>
      <c r="K2" s="6" t="str" cm="1">
        <f t="array" ref="K2">INDEX(KalenderWochen,$A$2,5)</f>
        <v>01.02.</v>
      </c>
      <c r="L2" s="6"/>
      <c r="M2" s="6"/>
      <c r="N2" s="6" t="str" cm="1">
        <f t="array" ref="N2">INDEX(KalenderWochen,$A$2,6)</f>
        <v>02.02.</v>
      </c>
      <c r="O2" s="6"/>
      <c r="P2" s="6"/>
      <c r="Q2" s="6" t="str" cm="1">
        <f t="array" ref="Q2">INDEX(KalenderWochen,$A$2,7)</f>
        <v>03.02.</v>
      </c>
      <c r="R2" s="6"/>
      <c r="S2" s="6"/>
      <c r="T2" s="6" t="str" cm="1">
        <f t="array" ref="T2">INDEX(KalenderWochen,$A$2,8)</f>
        <v>04.02.</v>
      </c>
      <c r="U2" s="6"/>
      <c r="V2" s="6"/>
      <c r="Y2"/>
      <c r="Z2" s="2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1" customFormat="1">
      <c r="A3" s="4"/>
      <c r="B3" s="4" t="s">
        <v>0</v>
      </c>
      <c r="C3" s="7" t="s">
        <v>1</v>
      </c>
      <c r="D3" s="4" t="s">
        <v>2</v>
      </c>
      <c r="E3" s="4" t="s">
        <v>0</v>
      </c>
      <c r="F3" s="4" t="s">
        <v>1</v>
      </c>
      <c r="G3" s="4" t="s">
        <v>2</v>
      </c>
      <c r="H3" s="4" t="s">
        <v>0</v>
      </c>
      <c r="I3" s="4" t="s">
        <v>1</v>
      </c>
      <c r="J3" s="4" t="s">
        <v>2</v>
      </c>
      <c r="K3" s="4" t="s">
        <v>0</v>
      </c>
      <c r="L3" s="4" t="s">
        <v>1</v>
      </c>
      <c r="M3" s="4" t="s">
        <v>2</v>
      </c>
      <c r="N3" s="4" t="s">
        <v>0</v>
      </c>
      <c r="O3" s="4" t="s">
        <v>1</v>
      </c>
      <c r="P3" s="4" t="s">
        <v>2</v>
      </c>
      <c r="Q3" s="4" t="s">
        <v>0</v>
      </c>
      <c r="R3" s="4" t="s">
        <v>1</v>
      </c>
      <c r="S3" s="4" t="s">
        <v>2</v>
      </c>
      <c r="T3" s="4" t="s">
        <v>0</v>
      </c>
      <c r="U3" s="4" t="s">
        <v>1</v>
      </c>
      <c r="V3" s="4" t="s">
        <v>2</v>
      </c>
      <c r="Y3"/>
    </row>
    <row r="4" spans="1:48">
      <c r="A4" s="12"/>
      <c r="B4" s="8"/>
      <c r="C4" s="10" t="str">
        <f>IF(ISBLANK(B5),"",(B5-B4))</f>
        <v/>
      </c>
      <c r="D4" s="9"/>
      <c r="E4" s="8">
        <v>0.33333333333333331</v>
      </c>
      <c r="F4" s="10">
        <f>IF(ISBLANK(E5),"",(E5-E4))</f>
        <v>0.10416666666666669</v>
      </c>
      <c r="G4" s="9" t="s">
        <v>436</v>
      </c>
      <c r="H4" s="8">
        <v>0.34375</v>
      </c>
      <c r="I4" s="10">
        <f>IF(ISBLANK(H5),"",(H5-H4))</f>
        <v>2.0833333333333315E-2</v>
      </c>
      <c r="J4" s="9" t="s">
        <v>433</v>
      </c>
      <c r="K4" s="8">
        <v>0.38541666666666669</v>
      </c>
      <c r="L4" s="10">
        <f>IF(ISBLANK(K5),"",(K5-K4))</f>
        <v>3.125E-2</v>
      </c>
      <c r="M4" s="9" t="s">
        <v>433</v>
      </c>
      <c r="N4" s="8">
        <v>0.36458333333333331</v>
      </c>
      <c r="O4" s="10">
        <f>IF(ISBLANK(N5),"",(N5-N4))</f>
        <v>2.083333333333337E-2</v>
      </c>
      <c r="P4" s="9" t="s">
        <v>433</v>
      </c>
      <c r="Q4" s="8"/>
      <c r="R4" s="10" t="str">
        <f>IF(ISBLANK(Q5),"",(Q5-Q4))</f>
        <v/>
      </c>
      <c r="S4" s="9"/>
      <c r="T4" s="8"/>
      <c r="U4" s="10" t="str">
        <f>IF(ISBLANK(T5),"",(T5-T4))</f>
        <v/>
      </c>
      <c r="V4" s="9"/>
      <c r="Z4" s="24"/>
    </row>
    <row r="5" spans="1:48">
      <c r="A5" s="12"/>
      <c r="B5" s="8"/>
      <c r="C5" s="10" t="str">
        <f t="shared" ref="C5:C19" si="0">IF(ISBLANK(B6),"",(B6-B5))</f>
        <v/>
      </c>
      <c r="D5" s="9"/>
      <c r="E5" s="8">
        <v>0.4375</v>
      </c>
      <c r="F5" s="10">
        <f t="shared" ref="F5:F19" si="1">IF(ISBLANK(E6),"",(E6-E5))</f>
        <v>2.0833333333333315E-2</v>
      </c>
      <c r="G5" s="9" t="s">
        <v>433</v>
      </c>
      <c r="H5" s="8">
        <v>0.36458333333333331</v>
      </c>
      <c r="I5" s="10">
        <f t="shared" ref="I5:I19" si="2">IF(ISBLANK(H6),"",(H6-H5))</f>
        <v>4.1666666666666685E-2</v>
      </c>
      <c r="J5" s="9" t="s">
        <v>444</v>
      </c>
      <c r="K5" s="8">
        <v>0.41666666666666669</v>
      </c>
      <c r="L5" s="10">
        <f t="shared" ref="L5:L19" si="3">IF(ISBLANK(K6),"",(K6-K5))</f>
        <v>4.166666666666663E-2</v>
      </c>
      <c r="M5" s="9" t="s">
        <v>442</v>
      </c>
      <c r="N5" s="8">
        <v>0.38541666666666669</v>
      </c>
      <c r="O5" s="10">
        <f t="shared" ref="O5:O19" si="4">IF(ISBLANK(N6),"",(N6-N5))</f>
        <v>0.10416666666666663</v>
      </c>
      <c r="P5" s="9" t="s">
        <v>438</v>
      </c>
      <c r="Q5" s="8"/>
      <c r="R5" s="10" t="str">
        <f t="shared" ref="R5:R19" si="5">IF(ISBLANK(Q6),"",(Q6-Q5))</f>
        <v/>
      </c>
      <c r="S5" s="9"/>
      <c r="T5" s="8"/>
      <c r="U5" s="10" t="str">
        <f t="shared" ref="U5:U19" si="6">IF(ISBLANK(T6),"",(T6-T5))</f>
        <v/>
      </c>
      <c r="V5" s="9"/>
      <c r="Z5" s="24"/>
    </row>
    <row r="6" spans="1:48">
      <c r="A6" s="12"/>
      <c r="B6" s="8"/>
      <c r="C6" s="10" t="str">
        <f t="shared" si="0"/>
        <v/>
      </c>
      <c r="D6" s="9"/>
      <c r="E6" s="8">
        <v>0.45833333333333331</v>
      </c>
      <c r="F6" s="10">
        <f t="shared" si="1"/>
        <v>2.083333333333337E-2</v>
      </c>
      <c r="G6" s="9" t="s">
        <v>440</v>
      </c>
      <c r="H6" s="8">
        <v>0.40625</v>
      </c>
      <c r="I6" s="10">
        <f t="shared" si="2"/>
        <v>6.25E-2</v>
      </c>
      <c r="J6" s="9" t="s">
        <v>3</v>
      </c>
      <c r="K6" s="8">
        <v>0.45833333333333331</v>
      </c>
      <c r="L6" s="10">
        <f t="shared" si="3"/>
        <v>1.0416666666666685E-2</v>
      </c>
      <c r="M6" s="9" t="s">
        <v>3</v>
      </c>
      <c r="N6" s="8">
        <v>0.48958333333333331</v>
      </c>
      <c r="O6" s="10">
        <f t="shared" si="4"/>
        <v>3.1250000000000056E-2</v>
      </c>
      <c r="P6" s="9" t="s">
        <v>3</v>
      </c>
      <c r="Q6" s="8"/>
      <c r="R6" s="10" t="str">
        <f t="shared" si="5"/>
        <v/>
      </c>
      <c r="S6" s="9"/>
      <c r="T6" s="8"/>
      <c r="U6" s="10" t="str">
        <f t="shared" si="6"/>
        <v/>
      </c>
      <c r="V6" s="9"/>
      <c r="Z6" s="24"/>
    </row>
    <row r="7" spans="1:48">
      <c r="A7" s="12"/>
      <c r="B7" s="8"/>
      <c r="C7" s="10" t="str">
        <f t="shared" si="0"/>
        <v/>
      </c>
      <c r="D7" s="9"/>
      <c r="E7" s="8">
        <v>0.47916666666666669</v>
      </c>
      <c r="F7" s="10">
        <f t="shared" si="1"/>
        <v>1.041666666666663E-2</v>
      </c>
      <c r="G7" s="9" t="s">
        <v>433</v>
      </c>
      <c r="H7" s="8">
        <v>0.46875</v>
      </c>
      <c r="I7" s="10">
        <f t="shared" si="2"/>
        <v>5.208333333333337E-2</v>
      </c>
      <c r="J7" s="9" t="s">
        <v>444</v>
      </c>
      <c r="K7" s="8">
        <v>0.46875</v>
      </c>
      <c r="L7" s="10">
        <f t="shared" si="3"/>
        <v>1.0416666666666685E-2</v>
      </c>
      <c r="M7" s="9" t="s">
        <v>411</v>
      </c>
      <c r="N7" s="8">
        <v>0.52083333333333337</v>
      </c>
      <c r="O7" s="10">
        <f t="shared" si="4"/>
        <v>6.25E-2</v>
      </c>
      <c r="P7" s="9" t="s">
        <v>438</v>
      </c>
      <c r="Q7" s="8"/>
      <c r="R7" s="10" t="str">
        <f t="shared" si="5"/>
        <v/>
      </c>
      <c r="S7" s="9"/>
      <c r="T7" s="8"/>
      <c r="U7" s="10" t="str">
        <f t="shared" si="6"/>
        <v/>
      </c>
      <c r="V7" s="9"/>
      <c r="Z7" s="24"/>
    </row>
    <row r="8" spans="1:48">
      <c r="A8" s="12"/>
      <c r="B8" s="8"/>
      <c r="C8" s="10" t="str">
        <f t="shared" si="0"/>
        <v/>
      </c>
      <c r="D8" s="9"/>
      <c r="E8" s="8">
        <v>0.48958333333333331</v>
      </c>
      <c r="F8" s="10">
        <f t="shared" si="1"/>
        <v>1.0416666666666685E-2</v>
      </c>
      <c r="G8" s="9" t="s">
        <v>10</v>
      </c>
      <c r="H8" s="8">
        <v>0.52083333333333337</v>
      </c>
      <c r="I8" s="10">
        <f t="shared" si="2"/>
        <v>4.166666666666663E-2</v>
      </c>
      <c r="J8" s="9" t="s">
        <v>420</v>
      </c>
      <c r="K8" s="8">
        <v>0.47916666666666669</v>
      </c>
      <c r="L8" s="10">
        <f t="shared" si="3"/>
        <v>2.0833333333333315E-2</v>
      </c>
      <c r="M8" s="9" t="s">
        <v>420</v>
      </c>
      <c r="N8" s="8">
        <v>0.58333333333333337</v>
      </c>
      <c r="O8" s="10">
        <f t="shared" si="4"/>
        <v>8.3333333333333259E-2</v>
      </c>
      <c r="P8" s="9" t="s">
        <v>3</v>
      </c>
      <c r="Q8" s="8"/>
      <c r="R8" s="10" t="str">
        <f t="shared" si="5"/>
        <v/>
      </c>
      <c r="S8" s="9"/>
      <c r="T8" s="8"/>
      <c r="U8" s="10" t="str">
        <f t="shared" si="6"/>
        <v/>
      </c>
      <c r="V8" s="9"/>
      <c r="Z8" s="24"/>
    </row>
    <row r="9" spans="1:48">
      <c r="A9" s="12"/>
      <c r="B9" s="8"/>
      <c r="C9" s="10" t="str">
        <f t="shared" si="0"/>
        <v/>
      </c>
      <c r="D9" s="9"/>
      <c r="E9" s="8">
        <v>0.5</v>
      </c>
      <c r="F9" s="10">
        <f t="shared" si="1"/>
        <v>4.166666666666663E-2</v>
      </c>
      <c r="G9" s="9" t="s">
        <v>3</v>
      </c>
      <c r="H9" s="8">
        <v>0.5625</v>
      </c>
      <c r="I9" s="10">
        <f t="shared" si="2"/>
        <v>0.10416666666666663</v>
      </c>
      <c r="J9" s="9" t="s">
        <v>444</v>
      </c>
      <c r="K9" s="8">
        <v>0.5</v>
      </c>
      <c r="L9" s="10">
        <f t="shared" si="3"/>
        <v>2.083333333333337E-2</v>
      </c>
      <c r="M9" s="9" t="s">
        <v>3</v>
      </c>
      <c r="N9" s="8">
        <v>0.66666666666666663</v>
      </c>
      <c r="O9" s="10">
        <f t="shared" si="4"/>
        <v>0.20833333333333337</v>
      </c>
      <c r="P9" s="9" t="s">
        <v>437</v>
      </c>
      <c r="Q9" s="8"/>
      <c r="R9" s="10" t="str">
        <f t="shared" si="5"/>
        <v/>
      </c>
      <c r="S9" s="9"/>
      <c r="T9" s="8"/>
      <c r="U9" s="10" t="str">
        <f t="shared" si="6"/>
        <v/>
      </c>
      <c r="V9" s="9"/>
      <c r="Z9" s="24"/>
    </row>
    <row r="10" spans="1:48">
      <c r="A10" s="12"/>
      <c r="B10" s="8"/>
      <c r="C10" s="10" t="str">
        <f t="shared" si="0"/>
        <v/>
      </c>
      <c r="D10" s="9"/>
      <c r="E10" s="8">
        <v>0.54166666666666663</v>
      </c>
      <c r="F10" s="10">
        <f t="shared" si="1"/>
        <v>0.11458333333333337</v>
      </c>
      <c r="G10" s="9" t="s">
        <v>433</v>
      </c>
      <c r="H10" s="8">
        <v>0.66666666666666663</v>
      </c>
      <c r="I10" s="10" t="str">
        <f t="shared" si="2"/>
        <v/>
      </c>
      <c r="J10" s="9"/>
      <c r="K10" s="8">
        <v>0.52083333333333337</v>
      </c>
      <c r="L10" s="10">
        <f t="shared" si="3"/>
        <v>8.3333333333333259E-2</v>
      </c>
      <c r="M10" s="9" t="s">
        <v>420</v>
      </c>
      <c r="N10" s="8">
        <v>0.875</v>
      </c>
      <c r="O10" s="10" t="str">
        <f t="shared" si="4"/>
        <v/>
      </c>
      <c r="P10" s="9"/>
      <c r="Q10" s="8"/>
      <c r="R10" s="10" t="str">
        <f t="shared" si="5"/>
        <v/>
      </c>
      <c r="S10" s="9"/>
      <c r="T10" s="8"/>
      <c r="U10" s="10" t="str">
        <f t="shared" si="6"/>
        <v/>
      </c>
      <c r="V10" s="9"/>
      <c r="Z10" s="24"/>
    </row>
    <row r="11" spans="1:48">
      <c r="A11" s="12"/>
      <c r="B11" s="8"/>
      <c r="C11" s="10" t="str">
        <f t="shared" si="0"/>
        <v/>
      </c>
      <c r="D11" s="9"/>
      <c r="E11" s="8">
        <v>0.65625</v>
      </c>
      <c r="F11" s="10">
        <f t="shared" si="1"/>
        <v>1.041666666666663E-2</v>
      </c>
      <c r="G11" s="9" t="s">
        <v>3</v>
      </c>
      <c r="H11" s="8"/>
      <c r="I11" s="10" t="str">
        <f t="shared" si="2"/>
        <v/>
      </c>
      <c r="J11" s="9"/>
      <c r="K11" s="8">
        <v>0.60416666666666663</v>
      </c>
      <c r="L11" s="10" t="str">
        <f t="shared" si="3"/>
        <v/>
      </c>
      <c r="M11" s="9"/>
      <c r="N11" s="8"/>
      <c r="O11" s="10" t="str">
        <f t="shared" si="4"/>
        <v/>
      </c>
      <c r="P11" s="9"/>
      <c r="Q11" s="8"/>
      <c r="R11" s="10" t="str">
        <f t="shared" si="5"/>
        <v/>
      </c>
      <c r="S11" s="9"/>
      <c r="T11" s="8"/>
      <c r="U11" s="10" t="str">
        <f t="shared" si="6"/>
        <v/>
      </c>
      <c r="V11" s="9"/>
      <c r="Z11" s="24"/>
    </row>
    <row r="12" spans="1:48">
      <c r="A12" s="12"/>
      <c r="B12" s="8"/>
      <c r="C12" s="10" t="str">
        <f t="shared" si="0"/>
        <v/>
      </c>
      <c r="D12" s="9"/>
      <c r="E12" s="8">
        <v>0.66666666666666663</v>
      </c>
      <c r="F12" s="10">
        <f t="shared" si="1"/>
        <v>8.333333333333337E-2</v>
      </c>
      <c r="G12" s="9" t="s">
        <v>410</v>
      </c>
      <c r="H12" s="8"/>
      <c r="I12" s="10" t="str">
        <f t="shared" si="2"/>
        <v/>
      </c>
      <c r="J12" s="9"/>
      <c r="K12" s="8"/>
      <c r="L12" s="10" t="str">
        <f t="shared" si="3"/>
        <v/>
      </c>
      <c r="M12" s="9"/>
      <c r="N12" s="8"/>
      <c r="O12" s="10" t="str">
        <f t="shared" si="4"/>
        <v/>
      </c>
      <c r="P12" s="9"/>
      <c r="Q12" s="8"/>
      <c r="R12" s="10" t="str">
        <f t="shared" si="5"/>
        <v/>
      </c>
      <c r="S12" s="9"/>
      <c r="T12" s="8"/>
      <c r="U12" s="10" t="str">
        <f t="shared" si="6"/>
        <v/>
      </c>
      <c r="V12" s="9"/>
      <c r="Z12" s="24"/>
    </row>
    <row r="13" spans="1:48">
      <c r="A13" s="12"/>
      <c r="B13" s="8"/>
      <c r="C13" s="10" t="str">
        <f t="shared" si="0"/>
        <v/>
      </c>
      <c r="D13" s="9"/>
      <c r="E13" s="8">
        <v>0.75</v>
      </c>
      <c r="F13" s="10" t="str">
        <f t="shared" si="1"/>
        <v/>
      </c>
      <c r="G13" s="9"/>
      <c r="H13" s="8"/>
      <c r="I13" s="10" t="str">
        <f t="shared" si="2"/>
        <v/>
      </c>
      <c r="J13" s="9"/>
      <c r="K13" s="8"/>
      <c r="L13" s="10" t="str">
        <f t="shared" si="3"/>
        <v/>
      </c>
      <c r="M13" s="9"/>
      <c r="N13" s="8"/>
      <c r="O13" s="10" t="str">
        <f t="shared" si="4"/>
        <v/>
      </c>
      <c r="P13" s="9"/>
      <c r="Q13" s="8"/>
      <c r="R13" s="10" t="str">
        <f t="shared" si="5"/>
        <v/>
      </c>
      <c r="S13" s="9"/>
      <c r="T13" s="8"/>
      <c r="U13" s="10" t="str">
        <f t="shared" si="6"/>
        <v/>
      </c>
      <c r="V13" s="9"/>
      <c r="Z13" s="24"/>
    </row>
    <row r="14" spans="1:48">
      <c r="A14" s="12"/>
      <c r="B14" s="8"/>
      <c r="C14" s="10" t="str">
        <f t="shared" si="0"/>
        <v/>
      </c>
      <c r="D14" s="9"/>
      <c r="E14" s="8"/>
      <c r="F14" s="10" t="str">
        <f t="shared" si="1"/>
        <v/>
      </c>
      <c r="G14" s="9"/>
      <c r="H14" s="8"/>
      <c r="I14" s="10" t="str">
        <f t="shared" si="2"/>
        <v/>
      </c>
      <c r="J14" s="9"/>
      <c r="K14" s="8"/>
      <c r="L14" s="10" t="str">
        <f t="shared" si="3"/>
        <v/>
      </c>
      <c r="M14" s="9"/>
      <c r="N14" s="8"/>
      <c r="O14" s="10" t="str">
        <f t="shared" si="4"/>
        <v/>
      </c>
      <c r="P14" s="9"/>
      <c r="Q14" s="8"/>
      <c r="R14" s="10" t="str">
        <f t="shared" si="5"/>
        <v/>
      </c>
      <c r="S14" s="9"/>
      <c r="T14" s="8"/>
      <c r="U14" s="10" t="str">
        <f t="shared" si="6"/>
        <v/>
      </c>
      <c r="V14" s="9"/>
      <c r="Z14" s="24"/>
    </row>
    <row r="15" spans="1:48">
      <c r="A15" s="12"/>
      <c r="B15" s="8"/>
      <c r="C15" s="10" t="str">
        <f t="shared" si="0"/>
        <v/>
      </c>
      <c r="D15" s="9"/>
      <c r="E15" s="8"/>
      <c r="F15" s="10" t="str">
        <f t="shared" si="1"/>
        <v/>
      </c>
      <c r="G15" s="9"/>
      <c r="H15" s="8"/>
      <c r="I15" s="10" t="str">
        <f t="shared" si="2"/>
        <v/>
      </c>
      <c r="J15" s="9"/>
      <c r="K15" s="8"/>
      <c r="L15" s="10" t="str">
        <f t="shared" si="3"/>
        <v/>
      </c>
      <c r="M15" s="9"/>
      <c r="N15" s="8"/>
      <c r="O15" s="10" t="str">
        <f t="shared" si="4"/>
        <v/>
      </c>
      <c r="P15" s="9"/>
      <c r="Q15" s="8"/>
      <c r="R15" s="10" t="str">
        <f t="shared" si="5"/>
        <v/>
      </c>
      <c r="S15" s="9"/>
      <c r="T15" s="8"/>
      <c r="U15" s="10" t="str">
        <f t="shared" si="6"/>
        <v/>
      </c>
      <c r="V15" s="9"/>
      <c r="Z15" s="24"/>
    </row>
    <row r="16" spans="1:48">
      <c r="A16" s="12"/>
      <c r="B16" s="8"/>
      <c r="C16" s="10" t="str">
        <f t="shared" si="0"/>
        <v/>
      </c>
      <c r="D16" s="9"/>
      <c r="E16" s="8"/>
      <c r="F16" s="10" t="str">
        <f t="shared" si="1"/>
        <v/>
      </c>
      <c r="G16" s="9"/>
      <c r="H16" s="8"/>
      <c r="I16" s="10" t="str">
        <f t="shared" si="2"/>
        <v/>
      </c>
      <c r="J16" s="9"/>
      <c r="K16" s="8"/>
      <c r="L16" s="10" t="str">
        <f t="shared" si="3"/>
        <v/>
      </c>
      <c r="M16" s="9"/>
      <c r="N16" s="8"/>
      <c r="O16" s="10" t="str">
        <f t="shared" si="4"/>
        <v/>
      </c>
      <c r="P16" s="9"/>
      <c r="Q16" s="8"/>
      <c r="R16" s="10" t="str">
        <f t="shared" si="5"/>
        <v/>
      </c>
      <c r="S16" s="9"/>
      <c r="T16" s="8"/>
      <c r="U16" s="10" t="str">
        <f t="shared" si="6"/>
        <v/>
      </c>
      <c r="V16" s="9"/>
      <c r="Z16" s="24"/>
    </row>
    <row r="17" spans="1:48">
      <c r="A17" s="12"/>
      <c r="B17" s="8"/>
      <c r="C17" s="10" t="str">
        <f t="shared" si="0"/>
        <v/>
      </c>
      <c r="D17" s="9"/>
      <c r="E17" s="8"/>
      <c r="F17" s="10" t="str">
        <f t="shared" si="1"/>
        <v/>
      </c>
      <c r="G17" s="9"/>
      <c r="H17" s="8"/>
      <c r="I17" s="10" t="str">
        <f t="shared" si="2"/>
        <v/>
      </c>
      <c r="J17" s="9"/>
      <c r="K17" s="8"/>
      <c r="L17" s="10" t="str">
        <f t="shared" si="3"/>
        <v/>
      </c>
      <c r="M17" s="9"/>
      <c r="N17" s="8"/>
      <c r="O17" s="10" t="str">
        <f t="shared" si="4"/>
        <v/>
      </c>
      <c r="P17" s="9"/>
      <c r="Q17" s="8"/>
      <c r="R17" s="10" t="str">
        <f t="shared" si="5"/>
        <v/>
      </c>
      <c r="S17" s="9"/>
      <c r="T17" s="8"/>
      <c r="U17" s="10" t="str">
        <f t="shared" si="6"/>
        <v/>
      </c>
      <c r="V17" s="9"/>
      <c r="Z17" s="24"/>
    </row>
    <row r="18" spans="1:48">
      <c r="A18" s="12"/>
      <c r="B18" s="8"/>
      <c r="C18" s="10" t="str">
        <f t="shared" si="0"/>
        <v/>
      </c>
      <c r="D18" s="9"/>
      <c r="E18" s="8"/>
      <c r="F18" s="10" t="str">
        <f t="shared" si="1"/>
        <v/>
      </c>
      <c r="G18" s="9"/>
      <c r="H18" s="8"/>
      <c r="I18" s="10" t="str">
        <f t="shared" si="2"/>
        <v/>
      </c>
      <c r="J18" s="9"/>
      <c r="K18" s="8"/>
      <c r="L18" s="10" t="str">
        <f t="shared" si="3"/>
        <v/>
      </c>
      <c r="M18" s="9"/>
      <c r="N18" s="8"/>
      <c r="O18" s="10" t="str">
        <f t="shared" si="4"/>
        <v/>
      </c>
      <c r="P18" s="9"/>
      <c r="Q18" s="8"/>
      <c r="R18" s="10" t="str">
        <f t="shared" si="5"/>
        <v/>
      </c>
      <c r="S18" s="9"/>
      <c r="T18" s="8"/>
      <c r="U18" s="10" t="str">
        <f t="shared" si="6"/>
        <v/>
      </c>
      <c r="V18" s="9"/>
      <c r="Z18" s="24"/>
    </row>
    <row r="19" spans="1:48">
      <c r="A19" s="12"/>
      <c r="B19" s="8"/>
      <c r="C19" s="10" t="str">
        <f t="shared" si="0"/>
        <v/>
      </c>
      <c r="D19" s="9"/>
      <c r="E19" s="8"/>
      <c r="F19" s="10" t="str">
        <f t="shared" si="1"/>
        <v/>
      </c>
      <c r="G19" s="9"/>
      <c r="H19" s="8"/>
      <c r="I19" s="10" t="str">
        <f t="shared" si="2"/>
        <v/>
      </c>
      <c r="J19" s="9"/>
      <c r="K19" s="8"/>
      <c r="L19" s="10" t="str">
        <f t="shared" si="3"/>
        <v/>
      </c>
      <c r="M19" s="9"/>
      <c r="N19" s="8"/>
      <c r="O19" s="10" t="str">
        <f t="shared" si="4"/>
        <v/>
      </c>
      <c r="P19" s="9"/>
      <c r="Q19" s="8"/>
      <c r="R19" s="10" t="str">
        <f t="shared" si="5"/>
        <v/>
      </c>
      <c r="S19" s="9"/>
      <c r="T19" s="8"/>
      <c r="U19" s="10" t="str">
        <f t="shared" si="6"/>
        <v/>
      </c>
      <c r="V19" s="9"/>
      <c r="Z19" s="24"/>
    </row>
    <row r="20" spans="1:48">
      <c r="A20" s="12"/>
      <c r="B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W20" t="s">
        <v>25</v>
      </c>
      <c r="Z20" s="24"/>
    </row>
    <row r="21" spans="1:48">
      <c r="A21" s="7" t="s">
        <v>5</v>
      </c>
      <c r="B21" s="19"/>
      <c r="C21" s="13">
        <v>0</v>
      </c>
      <c r="D21" s="13"/>
      <c r="E21" s="13"/>
      <c r="F21" s="13">
        <v>10</v>
      </c>
      <c r="G21" s="13"/>
      <c r="H21" s="13"/>
      <c r="I21" s="13">
        <v>8</v>
      </c>
      <c r="J21" s="13"/>
      <c r="K21" s="13"/>
      <c r="L21" s="13">
        <v>8</v>
      </c>
      <c r="M21" s="13"/>
      <c r="N21" s="13"/>
      <c r="O21" s="13">
        <v>8</v>
      </c>
      <c r="P21" s="13"/>
      <c r="Q21" s="13"/>
      <c r="R21" s="13">
        <v>2</v>
      </c>
      <c r="S21" s="13"/>
      <c r="T21" s="13"/>
      <c r="U21" s="13">
        <f>IF(AND((COUNTIF(V4:V19,"Krank")=0),COUNTIF(V4:V19,"Feiertag")=0),5,0)</f>
        <v>5</v>
      </c>
      <c r="V21" s="19"/>
      <c r="W21" s="13">
        <f>SUM(C21:V21)</f>
        <v>41</v>
      </c>
      <c r="Z21" s="24"/>
    </row>
    <row r="22" spans="1:48" s="2" customFormat="1">
      <c r="A22" s="7" t="s">
        <v>26</v>
      </c>
      <c r="B22" s="13"/>
      <c r="C22" s="13" cm="1">
        <f t="array" ref="C22">SG_SUMHOURS(C4:C19,D4:D19)</f>
        <v>0</v>
      </c>
      <c r="D22" s="19"/>
      <c r="E22" s="13"/>
      <c r="F22" s="13" cm="1">
        <f t="array" ref="F22">SG_SUMHOURS(F4:F19,G4:G19)</f>
        <v>8.7500000000000018</v>
      </c>
      <c r="G22" s="13"/>
      <c r="H22" s="13"/>
      <c r="I22" s="13" cm="1">
        <f t="array" ref="I22">SG_SUMHOURS(I4:I19,J4:J19)</f>
        <v>6.2499999999999991</v>
      </c>
      <c r="J22" s="13"/>
      <c r="K22" s="13"/>
      <c r="L22" s="13" cm="1">
        <f t="array" ref="L22">SG_SUMHOURS(L4:L19,M4:M19)</f>
        <v>4.4999999999999973</v>
      </c>
      <c r="M22" s="13"/>
      <c r="N22" s="13"/>
      <c r="O22" s="13" cm="1">
        <f t="array" ref="O22">SG_SUMHOURS(O4:O19,P4:P19)</f>
        <v>9.5</v>
      </c>
      <c r="P22" s="13"/>
      <c r="Q22" s="13"/>
      <c r="R22" s="13" cm="1">
        <f t="array" ref="R22">SG_SUMHOURS(R4:R19,S4:S19)</f>
        <v>0</v>
      </c>
      <c r="S22" s="13"/>
      <c r="T22" s="13"/>
      <c r="U22" s="13" cm="1">
        <f t="array" ref="U22">SG_SUMHOURS(U4:U19,V4:V19)</f>
        <v>0</v>
      </c>
      <c r="V22" s="13"/>
      <c r="W22" s="20">
        <f>SUM(C22:V22)</f>
        <v>28.999999999999996</v>
      </c>
      <c r="Z22" s="24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4"/>
      <c r="B23" s="14"/>
      <c r="V23" s="4" t="s">
        <v>389</v>
      </c>
      <c r="W23" s="13">
        <f>W22-W21</f>
        <v>-12.000000000000004</v>
      </c>
      <c r="Z23" s="24"/>
    </row>
    <row r="24" spans="1:48" s="1" customFormat="1">
      <c r="C24" s="11"/>
      <c r="V24" s="4" t="s">
        <v>386</v>
      </c>
      <c r="W24" s="22">
        <v>16</v>
      </c>
      <c r="Y24"/>
      <c r="Z24" s="24"/>
    </row>
    <row r="25" spans="1:48">
      <c r="V25" s="4" t="s">
        <v>387</v>
      </c>
      <c r="W25" s="20">
        <f>SUM(W23:W24)</f>
        <v>3.9999999999999964</v>
      </c>
      <c r="Z25" s="24"/>
    </row>
    <row r="26" spans="1:48">
      <c r="J26" s="23"/>
      <c r="Z26" s="24"/>
    </row>
    <row r="27" spans="1:48">
      <c r="Z27" s="24"/>
    </row>
    <row r="28" spans="1:48">
      <c r="Z28" s="24"/>
    </row>
  </sheetData>
  <dataValidations count="1">
    <dataValidation type="list" allowBlank="1" showInputMessage="1" showErrorMessage="1" sqref="V4:V19 G4:G19 J4:J19 M4:M19 P4:P19 S4:S19 D4:D19" xr:uid="{4D445380-12DB-40A4-B7E1-5882ECBADE72}">
      <formula1>Tätigkeiten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4F4FD-BC48-44B8-8F48-A01BA1E0EA4C}">
  <sheetPr codeName="Sheet10"/>
  <dimension ref="A1:AV30"/>
  <sheetViews>
    <sheetView zoomScale="115" zoomScaleNormal="115" workbookViewId="0">
      <selection activeCell="P7" sqref="P7"/>
    </sheetView>
  </sheetViews>
  <sheetFormatPr defaultColWidth="10.90625" defaultRowHeight="14.5"/>
  <cols>
    <col min="1" max="1" width="6.36328125" bestFit="1" customWidth="1"/>
    <col min="2" max="2" width="6.1796875" bestFit="1" customWidth="1"/>
    <col min="3" max="3" width="6.08984375" style="2" bestFit="1" customWidth="1"/>
    <col min="4" max="4" width="7.36328125" customWidth="1"/>
    <col min="5" max="5" width="6.1796875" bestFit="1" customWidth="1"/>
    <col min="6" max="6" width="6.08984375" bestFit="1" customWidth="1"/>
    <col min="7" max="7" width="31.08984375" bestFit="1" customWidth="1"/>
    <col min="8" max="8" width="6.1796875" bestFit="1" customWidth="1"/>
    <col min="9" max="9" width="6.08984375" bestFit="1" customWidth="1"/>
    <col min="10" max="10" width="31.08984375" bestFit="1" customWidth="1"/>
    <col min="11" max="11" width="8" bestFit="1" customWidth="1"/>
    <col min="12" max="12" width="6.08984375" bestFit="1" customWidth="1"/>
    <col min="13" max="13" width="27.08984375" customWidth="1"/>
    <col min="14" max="14" width="6.1796875" bestFit="1" customWidth="1"/>
    <col min="15" max="15" width="6.08984375" bestFit="1" customWidth="1"/>
    <col min="16" max="16" width="17.6328125" bestFit="1" customWidth="1"/>
    <col min="17" max="17" width="6.1796875" bestFit="1" customWidth="1"/>
    <col min="18" max="18" width="6.08984375" bestFit="1" customWidth="1"/>
    <col min="19" max="19" width="17.6328125" bestFit="1" customWidth="1"/>
    <col min="20" max="20" width="6.1796875" bestFit="1" customWidth="1"/>
    <col min="21" max="21" width="6.08984375" bestFit="1" customWidth="1"/>
    <col min="22" max="22" width="12.6328125" bestFit="1" customWidth="1"/>
    <col min="23" max="23" width="7.1796875" bestFit="1" customWidth="1"/>
    <col min="25" max="25" width="39.36328125" bestFit="1" customWidth="1"/>
  </cols>
  <sheetData>
    <row r="1" spans="1:48" s="1" customFormat="1">
      <c r="A1" s="4" t="s">
        <v>27</v>
      </c>
      <c r="B1" s="4" t="s">
        <v>11</v>
      </c>
      <c r="C1" s="5"/>
      <c r="D1" s="4"/>
      <c r="E1" s="4" t="s">
        <v>13</v>
      </c>
      <c r="F1" s="4"/>
      <c r="G1" s="4"/>
      <c r="H1" s="4" t="s">
        <v>15</v>
      </c>
      <c r="I1" s="4"/>
      <c r="J1" s="4"/>
      <c r="K1" s="4" t="s">
        <v>17</v>
      </c>
      <c r="L1" s="4"/>
      <c r="M1" s="4"/>
      <c r="N1" s="4" t="s">
        <v>19</v>
      </c>
      <c r="O1" s="4"/>
      <c r="P1" s="4"/>
      <c r="Q1" s="4" t="s">
        <v>21</v>
      </c>
      <c r="R1" s="4"/>
      <c r="S1" s="4"/>
      <c r="T1" s="4" t="s">
        <v>23</v>
      </c>
      <c r="U1" s="4"/>
      <c r="V1" s="4"/>
    </row>
    <row r="2" spans="1:48" s="3" customFormat="1">
      <c r="A2" s="21">
        <v>6</v>
      </c>
      <c r="B2" s="6" t="str" cm="1">
        <f t="array" ref="B2">INDEX(KalenderWochen,$A$2,2)</f>
        <v>05.02.</v>
      </c>
      <c r="C2" s="5"/>
      <c r="D2" s="6"/>
      <c r="E2" s="6" t="str" cm="1">
        <f t="array" ref="E2">INDEX(KalenderWochen,$A$2,3)</f>
        <v>06.02.</v>
      </c>
      <c r="F2" s="6"/>
      <c r="G2" s="6"/>
      <c r="H2" s="6" t="str" cm="1">
        <f t="array" ref="H2">INDEX(KalenderWochen,$A$2,4)</f>
        <v>07.02.</v>
      </c>
      <c r="I2" s="6"/>
      <c r="J2" s="6"/>
      <c r="K2" s="6" t="str" cm="1">
        <f t="array" ref="K2">INDEX(KalenderWochen,$A$2,5)</f>
        <v>08.02.</v>
      </c>
      <c r="L2" s="6"/>
      <c r="M2" s="6"/>
      <c r="N2" s="6" t="str" cm="1">
        <f t="array" ref="N2">INDEX(KalenderWochen,$A$2,6)</f>
        <v>09.02.</v>
      </c>
      <c r="O2" s="6"/>
      <c r="P2" s="6"/>
      <c r="Q2" s="6" t="str" cm="1">
        <f t="array" ref="Q2">INDEX(KalenderWochen,$A$2,7)</f>
        <v>10.02.</v>
      </c>
      <c r="R2" s="6"/>
      <c r="S2" s="6"/>
      <c r="T2" s="6" t="str" cm="1">
        <f t="array" ref="T2">INDEX(KalenderWochen,$A$2,8)</f>
        <v>11.02.</v>
      </c>
      <c r="U2" s="6"/>
      <c r="V2" s="6"/>
      <c r="Y2"/>
      <c r="Z2" s="2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1" customFormat="1">
      <c r="A3" s="4"/>
      <c r="B3" s="4" t="s">
        <v>0</v>
      </c>
      <c r="C3" s="7" t="s">
        <v>1</v>
      </c>
      <c r="D3" s="4" t="s">
        <v>2</v>
      </c>
      <c r="E3" s="4" t="s">
        <v>0</v>
      </c>
      <c r="F3" s="4" t="s">
        <v>1</v>
      </c>
      <c r="G3" s="4" t="s">
        <v>2</v>
      </c>
      <c r="H3" s="4" t="s">
        <v>0</v>
      </c>
      <c r="I3" s="4" t="s">
        <v>1</v>
      </c>
      <c r="J3" s="4" t="s">
        <v>2</v>
      </c>
      <c r="K3" s="4" t="s">
        <v>0</v>
      </c>
      <c r="L3" s="4" t="s">
        <v>1</v>
      </c>
      <c r="M3" s="4" t="s">
        <v>2</v>
      </c>
      <c r="N3" s="4" t="s">
        <v>0</v>
      </c>
      <c r="O3" s="4" t="s">
        <v>1</v>
      </c>
      <c r="P3" s="4" t="s">
        <v>2</v>
      </c>
      <c r="Q3" s="4" t="s">
        <v>0</v>
      </c>
      <c r="R3" s="4" t="s">
        <v>1</v>
      </c>
      <c r="S3" s="4" t="s">
        <v>2</v>
      </c>
      <c r="T3" s="4" t="s">
        <v>0</v>
      </c>
      <c r="U3" s="4" t="s">
        <v>1</v>
      </c>
      <c r="V3" s="4" t="s">
        <v>2</v>
      </c>
      <c r="Y3"/>
    </row>
    <row r="4" spans="1:48">
      <c r="A4" s="12"/>
      <c r="B4" s="8"/>
      <c r="C4" s="10" t="str">
        <f>IF(ISBLANK(B5),"",(B5-B4))</f>
        <v/>
      </c>
      <c r="D4" s="9"/>
      <c r="E4" s="8">
        <v>0.3125</v>
      </c>
      <c r="F4" s="10">
        <f>IF(ISBLANK(E5),"",(E5-E4))</f>
        <v>2.0833333333333315E-2</v>
      </c>
      <c r="G4" s="9" t="s">
        <v>421</v>
      </c>
      <c r="H4" s="8">
        <v>0.35416666666666669</v>
      </c>
      <c r="I4" s="10">
        <f>IF(ISBLANK(H5),"",(H5-H4))</f>
        <v>1.041666666666663E-2</v>
      </c>
      <c r="J4" s="9" t="s">
        <v>10</v>
      </c>
      <c r="K4" s="8">
        <v>0.33333333333333331</v>
      </c>
      <c r="L4" s="10">
        <f>IF(ISBLANK(K5),"",(K5-K4))</f>
        <v>3.125E-2</v>
      </c>
      <c r="M4" s="9" t="s">
        <v>411</v>
      </c>
      <c r="N4" s="8">
        <v>0.34375</v>
      </c>
      <c r="O4" s="10">
        <f>IF(ISBLANK(N5),"",(N5-N4))</f>
        <v>1.0416666666666685E-2</v>
      </c>
      <c r="P4" s="9" t="s">
        <v>420</v>
      </c>
      <c r="Q4" s="8"/>
      <c r="R4" s="10" t="str">
        <f>IF(ISBLANK(Q5),"",(Q5-Q4))</f>
        <v/>
      </c>
      <c r="S4" s="9"/>
      <c r="T4" s="8"/>
      <c r="U4" s="10" t="str">
        <f>IF(ISBLANK(T5),"",(T5-T4))</f>
        <v/>
      </c>
      <c r="V4" s="9"/>
      <c r="Z4" s="24"/>
    </row>
    <row r="5" spans="1:48">
      <c r="A5" s="12"/>
      <c r="B5" s="8"/>
      <c r="C5" s="10" t="str">
        <f t="shared" ref="C5:C19" si="0">IF(ISBLANK(B6),"",(B6-B5))</f>
        <v/>
      </c>
      <c r="D5" s="9"/>
      <c r="E5" s="8">
        <v>0.33333333333333331</v>
      </c>
      <c r="F5" s="10">
        <f t="shared" ref="F5:F19" si="1">IF(ISBLANK(E6),"",(E6-E5))</f>
        <v>1.3888888888888951E-2</v>
      </c>
      <c r="G5" s="9" t="s">
        <v>10</v>
      </c>
      <c r="H5" s="8">
        <v>0.36458333333333331</v>
      </c>
      <c r="I5" s="10">
        <f t="shared" ref="I5:I19" si="2">IF(ISBLANK(H6),"",(H6-H5))</f>
        <v>7.2916666666666685E-2</v>
      </c>
      <c r="J5" s="9" t="s">
        <v>427</v>
      </c>
      <c r="K5" s="8">
        <v>0.36458333333333331</v>
      </c>
      <c r="L5" s="10">
        <f t="shared" ref="L5:L19" si="3">IF(ISBLANK(K6),"",(K6-K5))</f>
        <v>4.1666666666666685E-2</v>
      </c>
      <c r="M5" s="9" t="s">
        <v>438</v>
      </c>
      <c r="N5" s="8">
        <v>0.35416666666666669</v>
      </c>
      <c r="O5" s="10">
        <f t="shared" ref="O5:O19" si="4">IF(ISBLANK(N6),"",(N6-N5))</f>
        <v>6.25E-2</v>
      </c>
      <c r="P5" s="9" t="s">
        <v>412</v>
      </c>
      <c r="Q5" s="8"/>
      <c r="R5" s="10" t="str">
        <f t="shared" ref="R5:R19" si="5">IF(ISBLANK(Q6),"",(Q6-Q5))</f>
        <v/>
      </c>
      <c r="S5" s="9"/>
      <c r="T5" s="8"/>
      <c r="U5" s="10" t="str">
        <f t="shared" ref="U5:U19" si="6">IF(ISBLANK(T6),"",(T6-T5))</f>
        <v/>
      </c>
      <c r="V5" s="9"/>
      <c r="Z5" s="24"/>
    </row>
    <row r="6" spans="1:48">
      <c r="A6" s="12"/>
      <c r="B6" s="8"/>
      <c r="C6" s="10" t="str">
        <f t="shared" si="0"/>
        <v/>
      </c>
      <c r="D6" s="9"/>
      <c r="E6" s="8">
        <v>0.34722222222222227</v>
      </c>
      <c r="F6" s="10">
        <f t="shared" si="1"/>
        <v>6.944444444444442E-2</v>
      </c>
      <c r="G6" s="9" t="s">
        <v>425</v>
      </c>
      <c r="H6" s="8">
        <v>0.4375</v>
      </c>
      <c r="I6" s="10">
        <f t="shared" si="2"/>
        <v>6.25E-2</v>
      </c>
      <c r="J6" s="9" t="s">
        <v>433</v>
      </c>
      <c r="K6" s="8">
        <v>0.40625</v>
      </c>
      <c r="L6" s="10">
        <f t="shared" si="3"/>
        <v>4.1666666666666685E-2</v>
      </c>
      <c r="M6" s="9" t="s">
        <v>433</v>
      </c>
      <c r="N6" s="8">
        <v>0.41666666666666669</v>
      </c>
      <c r="O6" s="10">
        <f t="shared" si="4"/>
        <v>4.166666666666663E-2</v>
      </c>
      <c r="P6" s="9" t="s">
        <v>433</v>
      </c>
      <c r="Q6" s="8"/>
      <c r="R6" s="10" t="str">
        <f t="shared" si="5"/>
        <v/>
      </c>
      <c r="S6" s="9"/>
      <c r="T6" s="8"/>
      <c r="U6" s="10" t="str">
        <f t="shared" si="6"/>
        <v/>
      </c>
      <c r="V6" s="9"/>
      <c r="Z6" s="24"/>
    </row>
    <row r="7" spans="1:48">
      <c r="A7" s="12"/>
      <c r="B7" s="8"/>
      <c r="C7" s="10" t="str">
        <f t="shared" si="0"/>
        <v/>
      </c>
      <c r="D7" s="9"/>
      <c r="E7" s="8">
        <v>0.41666666666666669</v>
      </c>
      <c r="F7" s="10">
        <f t="shared" si="1"/>
        <v>1.041666666666663E-2</v>
      </c>
      <c r="G7" s="9" t="s">
        <v>10</v>
      </c>
      <c r="H7" s="8">
        <v>0.5</v>
      </c>
      <c r="I7" s="10">
        <f t="shared" si="2"/>
        <v>4.166666666666663E-2</v>
      </c>
      <c r="J7" s="9" t="s">
        <v>3</v>
      </c>
      <c r="K7" s="8">
        <v>0.44791666666666669</v>
      </c>
      <c r="L7" s="10">
        <f t="shared" si="3"/>
        <v>1.041666666666663E-2</v>
      </c>
      <c r="M7" s="9" t="s">
        <v>3</v>
      </c>
      <c r="N7" s="8">
        <v>0.45833333333333331</v>
      </c>
      <c r="O7" s="10">
        <f t="shared" si="4"/>
        <v>9.3750000000000056E-2</v>
      </c>
      <c r="P7" s="9" t="s">
        <v>412</v>
      </c>
      <c r="Q7" s="8"/>
      <c r="R7" s="10" t="str">
        <f t="shared" si="5"/>
        <v/>
      </c>
      <c r="S7" s="9"/>
      <c r="T7" s="8"/>
      <c r="U7" s="10" t="str">
        <f t="shared" si="6"/>
        <v/>
      </c>
      <c r="V7" s="9"/>
      <c r="Z7" s="24"/>
    </row>
    <row r="8" spans="1:48">
      <c r="A8" s="12"/>
      <c r="B8" s="8"/>
      <c r="C8" s="10" t="str">
        <f t="shared" si="0"/>
        <v/>
      </c>
      <c r="D8" s="9"/>
      <c r="E8" s="8">
        <v>0.42708333333333331</v>
      </c>
      <c r="F8" s="10">
        <f t="shared" si="1"/>
        <v>5.208333333333337E-2</v>
      </c>
      <c r="G8" s="9" t="s">
        <v>436</v>
      </c>
      <c r="H8" s="8">
        <v>0.54166666666666663</v>
      </c>
      <c r="I8" s="10">
        <f t="shared" si="2"/>
        <v>8.333333333333337E-2</v>
      </c>
      <c r="J8" s="9" t="s">
        <v>444</v>
      </c>
      <c r="K8" s="8">
        <v>0.45833333333333331</v>
      </c>
      <c r="L8" s="10">
        <f t="shared" si="3"/>
        <v>4.1666666666666685E-2</v>
      </c>
      <c r="M8" s="9" t="s">
        <v>440</v>
      </c>
      <c r="N8" s="8">
        <v>0.55208333333333337</v>
      </c>
      <c r="O8" s="10" t="str">
        <f t="shared" si="4"/>
        <v/>
      </c>
      <c r="P8" s="9"/>
      <c r="Q8" s="8"/>
      <c r="R8" s="10" t="str">
        <f t="shared" si="5"/>
        <v/>
      </c>
      <c r="S8" s="9"/>
      <c r="T8" s="8"/>
      <c r="U8" s="10" t="str">
        <f t="shared" si="6"/>
        <v/>
      </c>
      <c r="V8" s="9"/>
      <c r="Z8" s="24"/>
    </row>
    <row r="9" spans="1:48">
      <c r="A9" s="12"/>
      <c r="B9" s="8"/>
      <c r="C9" s="10" t="str">
        <f t="shared" si="0"/>
        <v/>
      </c>
      <c r="D9" s="9"/>
      <c r="E9" s="8">
        <v>0.47916666666666669</v>
      </c>
      <c r="F9" s="10">
        <f t="shared" si="1"/>
        <v>2.0833333333333315E-2</v>
      </c>
      <c r="G9" s="9" t="s">
        <v>10</v>
      </c>
      <c r="H9" s="8">
        <v>0.625</v>
      </c>
      <c r="I9" s="10">
        <f t="shared" si="2"/>
        <v>4.166666666666663E-2</v>
      </c>
      <c r="J9" s="9" t="s">
        <v>433</v>
      </c>
      <c r="K9" s="8">
        <v>0.5</v>
      </c>
      <c r="L9" s="10">
        <f t="shared" si="3"/>
        <v>4.166666666666663E-2</v>
      </c>
      <c r="M9" s="9" t="s">
        <v>3</v>
      </c>
      <c r="N9" s="8"/>
      <c r="O9" s="10" t="str">
        <f t="shared" si="4"/>
        <v/>
      </c>
      <c r="P9" s="9"/>
      <c r="Q9" s="8"/>
      <c r="R9" s="10" t="str">
        <f t="shared" si="5"/>
        <v/>
      </c>
      <c r="S9" s="9"/>
      <c r="T9" s="8"/>
      <c r="U9" s="10" t="str">
        <f t="shared" si="6"/>
        <v/>
      </c>
      <c r="V9" s="9"/>
      <c r="Z9" s="24"/>
    </row>
    <row r="10" spans="1:48">
      <c r="A10" s="12"/>
      <c r="B10" s="8"/>
      <c r="C10" s="10" t="str">
        <f t="shared" si="0"/>
        <v/>
      </c>
      <c r="D10" s="9"/>
      <c r="E10" s="8">
        <v>0.5</v>
      </c>
      <c r="F10" s="10">
        <f t="shared" si="1"/>
        <v>4.166666666666663E-2</v>
      </c>
      <c r="G10" s="9" t="s">
        <v>426</v>
      </c>
      <c r="H10" s="8">
        <v>0.66666666666666663</v>
      </c>
      <c r="I10" s="10" t="str">
        <f t="shared" si="2"/>
        <v/>
      </c>
      <c r="J10" s="9"/>
      <c r="K10" s="8">
        <v>0.54166666666666663</v>
      </c>
      <c r="L10" s="10">
        <f t="shared" si="3"/>
        <v>0.11805555555555558</v>
      </c>
      <c r="M10" s="9" t="s">
        <v>412</v>
      </c>
      <c r="N10" s="8"/>
      <c r="O10" s="10" t="str">
        <f t="shared" si="4"/>
        <v/>
      </c>
      <c r="P10" s="9"/>
      <c r="Q10" s="8"/>
      <c r="R10" s="10" t="str">
        <f t="shared" si="5"/>
        <v/>
      </c>
      <c r="S10" s="9"/>
      <c r="T10" s="8"/>
      <c r="U10" s="10" t="str">
        <f t="shared" si="6"/>
        <v/>
      </c>
      <c r="V10" s="9"/>
      <c r="Z10" s="24"/>
    </row>
    <row r="11" spans="1:48">
      <c r="A11" s="12"/>
      <c r="B11" s="8"/>
      <c r="C11" s="10" t="str">
        <f t="shared" si="0"/>
        <v/>
      </c>
      <c r="D11" s="9"/>
      <c r="E11" s="8">
        <v>0.54166666666666663</v>
      </c>
      <c r="F11" s="10">
        <f t="shared" si="1"/>
        <v>1.0416666666666741E-2</v>
      </c>
      <c r="G11" s="9" t="s">
        <v>10</v>
      </c>
      <c r="H11" s="8"/>
      <c r="I11" s="10" t="str">
        <f t="shared" si="2"/>
        <v/>
      </c>
      <c r="J11" s="9"/>
      <c r="K11" s="8">
        <v>0.65972222222222221</v>
      </c>
      <c r="L11" s="10">
        <f t="shared" si="3"/>
        <v>7.986111111111116E-2</v>
      </c>
      <c r="M11" s="9" t="s">
        <v>3</v>
      </c>
      <c r="N11" s="8"/>
      <c r="O11" s="10" t="str">
        <f t="shared" si="4"/>
        <v/>
      </c>
      <c r="P11" s="9"/>
      <c r="Q11" s="8"/>
      <c r="R11" s="10" t="str">
        <f t="shared" si="5"/>
        <v/>
      </c>
      <c r="S11" s="9"/>
      <c r="T11" s="8"/>
      <c r="U11" s="10" t="str">
        <f t="shared" si="6"/>
        <v/>
      </c>
      <c r="V11" s="9"/>
      <c r="Z11" s="24"/>
    </row>
    <row r="12" spans="1:48">
      <c r="A12" s="12"/>
      <c r="B12" s="8"/>
      <c r="C12" s="10" t="str">
        <f t="shared" si="0"/>
        <v/>
      </c>
      <c r="D12" s="9"/>
      <c r="E12" s="8">
        <v>0.55208333333333337</v>
      </c>
      <c r="F12" s="10">
        <f t="shared" si="1"/>
        <v>5.2083333333333259E-2</v>
      </c>
      <c r="G12" s="9" t="s">
        <v>3</v>
      </c>
      <c r="H12" s="8"/>
      <c r="I12" s="10" t="str">
        <f t="shared" si="2"/>
        <v/>
      </c>
      <c r="J12" s="9"/>
      <c r="K12" s="8">
        <v>0.73958333333333337</v>
      </c>
      <c r="L12" s="10">
        <f t="shared" si="3"/>
        <v>3.125E-2</v>
      </c>
      <c r="M12" s="9" t="s">
        <v>431</v>
      </c>
      <c r="N12" s="8"/>
      <c r="O12" s="10" t="str">
        <f t="shared" si="4"/>
        <v/>
      </c>
      <c r="P12" s="9"/>
      <c r="Q12" s="8"/>
      <c r="R12" s="10" t="str">
        <f t="shared" si="5"/>
        <v/>
      </c>
      <c r="S12" s="9"/>
      <c r="T12" s="8"/>
      <c r="U12" s="10" t="str">
        <f t="shared" si="6"/>
        <v/>
      </c>
      <c r="V12" s="9"/>
      <c r="Z12" s="24"/>
    </row>
    <row r="13" spans="1:48">
      <c r="A13" s="12"/>
      <c r="B13" s="8"/>
      <c r="C13" s="10" t="str">
        <f t="shared" si="0"/>
        <v/>
      </c>
      <c r="D13" s="9"/>
      <c r="E13" s="8">
        <v>0.60416666666666663</v>
      </c>
      <c r="F13" s="10">
        <f t="shared" si="1"/>
        <v>4.1666666666666741E-2</v>
      </c>
      <c r="G13" s="9" t="s">
        <v>433</v>
      </c>
      <c r="H13" s="8"/>
      <c r="I13" s="10" t="str">
        <f t="shared" si="2"/>
        <v/>
      </c>
      <c r="J13" s="9"/>
      <c r="K13" s="8">
        <v>0.77083333333333337</v>
      </c>
      <c r="L13" s="10" t="str">
        <f t="shared" si="3"/>
        <v/>
      </c>
      <c r="M13" s="9"/>
      <c r="N13" s="8"/>
      <c r="O13" s="10" t="str">
        <f t="shared" si="4"/>
        <v/>
      </c>
      <c r="P13" s="9"/>
      <c r="Q13" s="8"/>
      <c r="R13" s="10" t="str">
        <f t="shared" si="5"/>
        <v/>
      </c>
      <c r="S13" s="9"/>
      <c r="T13" s="8"/>
      <c r="U13" s="10" t="str">
        <f t="shared" si="6"/>
        <v/>
      </c>
      <c r="V13" s="9"/>
      <c r="Z13" s="24"/>
    </row>
    <row r="14" spans="1:48">
      <c r="A14" s="12"/>
      <c r="B14" s="8"/>
      <c r="C14" s="10" t="str">
        <f t="shared" si="0"/>
        <v/>
      </c>
      <c r="D14" s="9"/>
      <c r="E14" s="8">
        <v>0.64583333333333337</v>
      </c>
      <c r="F14" s="10">
        <f t="shared" si="1"/>
        <v>4.166666666666663E-2</v>
      </c>
      <c r="G14" s="9" t="s">
        <v>420</v>
      </c>
      <c r="H14" s="8"/>
      <c r="I14" s="10" t="str">
        <f t="shared" si="2"/>
        <v/>
      </c>
      <c r="J14" s="9"/>
      <c r="K14" s="8"/>
      <c r="L14" s="10" t="str">
        <f t="shared" si="3"/>
        <v/>
      </c>
      <c r="M14" s="9"/>
      <c r="N14" s="8"/>
      <c r="O14" s="10" t="str">
        <f t="shared" si="4"/>
        <v/>
      </c>
      <c r="P14" s="9"/>
      <c r="Q14" s="8"/>
      <c r="R14" s="10" t="str">
        <f t="shared" si="5"/>
        <v/>
      </c>
      <c r="S14" s="9"/>
      <c r="T14" s="8"/>
      <c r="U14" s="10" t="str">
        <f t="shared" si="6"/>
        <v/>
      </c>
      <c r="V14" s="9"/>
      <c r="Z14" s="24"/>
    </row>
    <row r="15" spans="1:48">
      <c r="A15" s="12"/>
      <c r="B15" s="8"/>
      <c r="C15" s="10" t="str">
        <f t="shared" si="0"/>
        <v/>
      </c>
      <c r="D15" s="9"/>
      <c r="E15" s="8">
        <v>0.6875</v>
      </c>
      <c r="F15" s="10">
        <f t="shared" si="1"/>
        <v>6.25E-2</v>
      </c>
      <c r="G15" s="9" t="s">
        <v>410</v>
      </c>
      <c r="H15" s="8"/>
      <c r="I15" s="10" t="str">
        <f t="shared" si="2"/>
        <v/>
      </c>
      <c r="J15" s="9"/>
      <c r="K15" s="8"/>
      <c r="L15" s="10" t="str">
        <f t="shared" si="3"/>
        <v/>
      </c>
      <c r="M15" s="9"/>
      <c r="N15" s="8"/>
      <c r="O15" s="10" t="str">
        <f t="shared" si="4"/>
        <v/>
      </c>
      <c r="P15" s="9"/>
      <c r="Q15" s="8"/>
      <c r="R15" s="10" t="str">
        <f t="shared" si="5"/>
        <v/>
      </c>
      <c r="S15" s="9"/>
      <c r="T15" s="8"/>
      <c r="U15" s="10" t="str">
        <f t="shared" si="6"/>
        <v/>
      </c>
      <c r="V15" s="9"/>
      <c r="Z15" s="24"/>
    </row>
    <row r="16" spans="1:48">
      <c r="A16" s="12"/>
      <c r="B16" s="8"/>
      <c r="C16" s="10" t="str">
        <f t="shared" si="0"/>
        <v/>
      </c>
      <c r="D16" s="9"/>
      <c r="E16" s="8">
        <v>0.75</v>
      </c>
      <c r="F16" s="10">
        <f t="shared" si="1"/>
        <v>4.166666666666663E-2</v>
      </c>
      <c r="G16" s="9" t="s">
        <v>420</v>
      </c>
      <c r="H16" s="8"/>
      <c r="I16" s="10" t="str">
        <f t="shared" si="2"/>
        <v/>
      </c>
      <c r="J16" s="9"/>
      <c r="K16" s="8"/>
      <c r="L16" s="10" t="str">
        <f t="shared" si="3"/>
        <v/>
      </c>
      <c r="M16" s="9"/>
      <c r="N16" s="8"/>
      <c r="O16" s="10" t="str">
        <f t="shared" si="4"/>
        <v/>
      </c>
      <c r="P16" s="9"/>
      <c r="Q16" s="8"/>
      <c r="R16" s="10" t="str">
        <f t="shared" si="5"/>
        <v/>
      </c>
      <c r="S16" s="9"/>
      <c r="T16" s="8"/>
      <c r="U16" s="10" t="str">
        <f t="shared" si="6"/>
        <v/>
      </c>
      <c r="V16" s="9"/>
      <c r="Z16" s="24"/>
    </row>
    <row r="17" spans="1:48">
      <c r="A17" s="12"/>
      <c r="B17" s="8"/>
      <c r="C17" s="10" t="str">
        <f t="shared" si="0"/>
        <v/>
      </c>
      <c r="D17" s="9"/>
      <c r="E17" s="8">
        <v>0.79166666666666663</v>
      </c>
      <c r="F17" s="10">
        <f t="shared" si="1"/>
        <v>0.14583333333333337</v>
      </c>
      <c r="G17" s="9" t="s">
        <v>419</v>
      </c>
      <c r="H17" s="8"/>
      <c r="I17" s="10" t="str">
        <f t="shared" si="2"/>
        <v/>
      </c>
      <c r="J17" s="9"/>
      <c r="K17" s="8"/>
      <c r="L17" s="10" t="str">
        <f t="shared" si="3"/>
        <v/>
      </c>
      <c r="M17" s="9"/>
      <c r="N17" s="8"/>
      <c r="O17" s="10" t="str">
        <f t="shared" si="4"/>
        <v/>
      </c>
      <c r="P17" s="9"/>
      <c r="Q17" s="8"/>
      <c r="R17" s="10" t="str">
        <f t="shared" si="5"/>
        <v/>
      </c>
      <c r="S17" s="9"/>
      <c r="T17" s="8"/>
      <c r="U17" s="10" t="str">
        <f t="shared" si="6"/>
        <v/>
      </c>
      <c r="V17" s="9"/>
      <c r="Z17" s="24"/>
    </row>
    <row r="18" spans="1:48">
      <c r="A18" s="12"/>
      <c r="B18" s="8"/>
      <c r="C18" s="10" t="str">
        <f t="shared" si="0"/>
        <v/>
      </c>
      <c r="D18" s="9"/>
      <c r="E18" s="8">
        <v>0.9375</v>
      </c>
      <c r="F18" s="10" t="str">
        <f t="shared" si="1"/>
        <v/>
      </c>
      <c r="G18" s="9"/>
      <c r="H18" s="8"/>
      <c r="I18" s="10" t="str">
        <f t="shared" si="2"/>
        <v/>
      </c>
      <c r="J18" s="9"/>
      <c r="K18" s="8"/>
      <c r="L18" s="10" t="str">
        <f t="shared" si="3"/>
        <v/>
      </c>
      <c r="M18" s="9"/>
      <c r="N18" s="8"/>
      <c r="O18" s="10" t="str">
        <f t="shared" si="4"/>
        <v/>
      </c>
      <c r="P18" s="9"/>
      <c r="Q18" s="8"/>
      <c r="R18" s="10" t="str">
        <f t="shared" si="5"/>
        <v/>
      </c>
      <c r="S18" s="9"/>
      <c r="T18" s="8"/>
      <c r="U18" s="10" t="str">
        <f t="shared" si="6"/>
        <v/>
      </c>
      <c r="V18" s="9"/>
      <c r="Z18" s="24"/>
    </row>
    <row r="19" spans="1:48">
      <c r="A19" s="12"/>
      <c r="B19" s="8"/>
      <c r="C19" s="10" t="str">
        <f t="shared" si="0"/>
        <v/>
      </c>
      <c r="D19" s="9"/>
      <c r="E19" s="8"/>
      <c r="F19" s="10" t="str">
        <f t="shared" si="1"/>
        <v/>
      </c>
      <c r="G19" s="9"/>
      <c r="H19" s="8"/>
      <c r="I19" s="10" t="str">
        <f t="shared" si="2"/>
        <v/>
      </c>
      <c r="J19" s="9"/>
      <c r="K19" s="8"/>
      <c r="L19" s="10" t="str">
        <f t="shared" si="3"/>
        <v/>
      </c>
      <c r="M19" s="9"/>
      <c r="N19" s="8"/>
      <c r="O19" s="10" t="str">
        <f t="shared" si="4"/>
        <v/>
      </c>
      <c r="P19" s="9"/>
      <c r="Q19" s="8"/>
      <c r="R19" s="10" t="str">
        <f t="shared" si="5"/>
        <v/>
      </c>
      <c r="S19" s="9"/>
      <c r="T19" s="8"/>
      <c r="U19" s="10" t="str">
        <f t="shared" si="6"/>
        <v/>
      </c>
      <c r="V19" s="9"/>
      <c r="Z19" s="24"/>
    </row>
    <row r="20" spans="1:48">
      <c r="A20" s="12"/>
      <c r="B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W20" t="s">
        <v>25</v>
      </c>
      <c r="Z20" s="24"/>
    </row>
    <row r="21" spans="1:48">
      <c r="A21" s="7" t="s">
        <v>5</v>
      </c>
      <c r="B21" s="19"/>
      <c r="C21" s="13">
        <v>0</v>
      </c>
      <c r="D21" s="13"/>
      <c r="E21" s="13"/>
      <c r="F21" s="13">
        <v>10</v>
      </c>
      <c r="G21" s="13"/>
      <c r="H21" s="13"/>
      <c r="I21" s="13">
        <v>8</v>
      </c>
      <c r="J21" s="13"/>
      <c r="K21" s="13"/>
      <c r="L21" s="13">
        <v>8</v>
      </c>
      <c r="M21" s="13"/>
      <c r="N21" s="13"/>
      <c r="O21" s="13">
        <v>8</v>
      </c>
      <c r="P21" s="13"/>
      <c r="Q21" s="13"/>
      <c r="R21" s="13">
        <v>2</v>
      </c>
      <c r="S21" s="13"/>
      <c r="T21" s="13"/>
      <c r="U21" s="13">
        <f>IF(AND((COUNTIF(V4:V19,"Krank")=0),COUNTIF(V4:V19,"Feiertag")=0),5,0)</f>
        <v>5</v>
      </c>
      <c r="V21" s="19"/>
      <c r="W21" s="13">
        <f>SUM(C21:V21)</f>
        <v>41</v>
      </c>
      <c r="Z21" s="24"/>
    </row>
    <row r="22" spans="1:48" s="2" customFormat="1">
      <c r="A22" s="7" t="s">
        <v>26</v>
      </c>
      <c r="B22" s="13"/>
      <c r="C22" s="13" cm="1">
        <f t="array" ref="C22">SG_SUMHOURS(C4:C19,D4:D19)</f>
        <v>0</v>
      </c>
      <c r="D22" s="19"/>
      <c r="E22" s="13"/>
      <c r="F22" s="13" cm="1">
        <f t="array" ref="F22">SG_SUMHOURS(F4:F19,G4:G19)</f>
        <v>13.75</v>
      </c>
      <c r="G22" s="13"/>
      <c r="H22" s="13"/>
      <c r="I22" s="13" cm="1">
        <f t="array" ref="I22">SG_SUMHOURS(I4:I19,J4:J19)</f>
        <v>6.4999999999999991</v>
      </c>
      <c r="J22" s="13"/>
      <c r="K22" s="13"/>
      <c r="L22" s="13" cm="1">
        <f t="array" ref="L22">SG_SUMHOURS(L4:L19,M4:M19)</f>
        <v>7.3333333333333357</v>
      </c>
      <c r="M22" s="13"/>
      <c r="N22" s="13"/>
      <c r="O22" s="13" cm="1">
        <f t="array" ref="O22">SG_SUMHOURS(O4:O19,P4:P19)</f>
        <v>5.0000000000000009</v>
      </c>
      <c r="P22" s="13"/>
      <c r="Q22" s="13"/>
      <c r="R22" s="13" cm="1">
        <f t="array" ref="R22">SG_SUMHOURS(R4:R19,S4:S19)</f>
        <v>0</v>
      </c>
      <c r="S22" s="13"/>
      <c r="T22" s="13"/>
      <c r="U22" s="13" cm="1">
        <f t="array" ref="U22">SG_SUMHOURS(U4:U19,V4:V19)</f>
        <v>0</v>
      </c>
      <c r="V22" s="13"/>
      <c r="W22" s="20">
        <f>SUM(C22:V22)</f>
        <v>32.583333333333336</v>
      </c>
      <c r="Z22" s="24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4"/>
      <c r="B23" s="14"/>
      <c r="V23" s="4" t="s">
        <v>389</v>
      </c>
      <c r="W23" s="13">
        <f>W22-W21</f>
        <v>-8.4166666666666643</v>
      </c>
      <c r="Z23" s="24"/>
    </row>
    <row r="24" spans="1:48" s="1" customFormat="1">
      <c r="C24" s="11"/>
      <c r="V24" s="4" t="s">
        <v>386</v>
      </c>
      <c r="W24" s="22">
        <v>4</v>
      </c>
      <c r="Y24"/>
      <c r="Z24" s="24"/>
    </row>
    <row r="25" spans="1:48">
      <c r="V25" s="4" t="s">
        <v>387</v>
      </c>
      <c r="W25" s="20">
        <f>SUM(W23:W24)</f>
        <v>-4.4166666666666643</v>
      </c>
      <c r="Z25" s="24"/>
    </row>
    <row r="26" spans="1:48">
      <c r="J26" s="23"/>
      <c r="Z26" s="24"/>
    </row>
    <row r="27" spans="1:48">
      <c r="Z27" s="24"/>
    </row>
    <row r="28" spans="1:48">
      <c r="Z28" s="24"/>
    </row>
    <row r="30" spans="1:48">
      <c r="J30">
        <v>2</v>
      </c>
    </row>
  </sheetData>
  <dataValidations count="1">
    <dataValidation type="list" allowBlank="1" showInputMessage="1" showErrorMessage="1" sqref="V4:V19 G4:G19 J4:J19 M4:M19 P4:P19 S4:S19 D4:D19" xr:uid="{368FCBDD-975E-41B8-B919-A7300E867DD6}">
      <formula1>Tätigkeiten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8B4AC-DCFD-492E-91C4-85BEFD055A85}">
  <sheetPr codeName="Sheet11"/>
  <dimension ref="A1:AV28"/>
  <sheetViews>
    <sheetView zoomScale="115" zoomScaleNormal="115" workbookViewId="0">
      <selection activeCell="P29" sqref="P29"/>
    </sheetView>
  </sheetViews>
  <sheetFormatPr defaultColWidth="10.90625" defaultRowHeight="14.5"/>
  <cols>
    <col min="1" max="1" width="6.36328125" bestFit="1" customWidth="1"/>
    <col min="2" max="2" width="7.1796875" bestFit="1" customWidth="1"/>
    <col min="3" max="3" width="6.08984375" style="2" bestFit="1" customWidth="1"/>
    <col min="4" max="4" width="28.453125" customWidth="1"/>
    <col min="5" max="5" width="6.1796875" bestFit="1" customWidth="1"/>
    <col min="6" max="6" width="6.08984375" bestFit="1" customWidth="1"/>
    <col min="7" max="7" width="31.08984375" bestFit="1" customWidth="1"/>
    <col min="8" max="8" width="6.1796875" bestFit="1" customWidth="1"/>
    <col min="9" max="9" width="6.08984375" bestFit="1" customWidth="1"/>
    <col min="10" max="10" width="31.08984375" bestFit="1" customWidth="1"/>
    <col min="11" max="11" width="8" bestFit="1" customWidth="1"/>
    <col min="12" max="12" width="6.08984375" bestFit="1" customWidth="1"/>
    <col min="13" max="13" width="25.453125" customWidth="1"/>
    <col min="14" max="14" width="7.54296875" customWidth="1"/>
    <col min="15" max="15" width="6.08984375" bestFit="1" customWidth="1"/>
    <col min="16" max="16" width="20.90625" customWidth="1"/>
    <col min="17" max="17" width="6.1796875" bestFit="1" customWidth="1"/>
    <col min="18" max="18" width="6.08984375" bestFit="1" customWidth="1"/>
    <col min="19" max="19" width="17.6328125" bestFit="1" customWidth="1"/>
    <col min="20" max="20" width="6.1796875" bestFit="1" customWidth="1"/>
    <col min="21" max="21" width="6.08984375" bestFit="1" customWidth="1"/>
    <col min="22" max="22" width="12.6328125" bestFit="1" customWidth="1"/>
    <col min="23" max="23" width="7.1796875" bestFit="1" customWidth="1"/>
    <col min="25" max="25" width="39.36328125" bestFit="1" customWidth="1"/>
  </cols>
  <sheetData>
    <row r="1" spans="1:48" s="1" customFormat="1">
      <c r="A1" s="4" t="s">
        <v>27</v>
      </c>
      <c r="B1" s="4" t="s">
        <v>11</v>
      </c>
      <c r="C1" s="5"/>
      <c r="D1" s="4"/>
      <c r="E1" s="4" t="s">
        <v>13</v>
      </c>
      <c r="F1" s="4"/>
      <c r="G1" s="4"/>
      <c r="H1" s="4" t="s">
        <v>15</v>
      </c>
      <c r="I1" s="4"/>
      <c r="J1" s="4"/>
      <c r="K1" s="4" t="s">
        <v>17</v>
      </c>
      <c r="L1" s="4"/>
      <c r="M1" s="4"/>
      <c r="N1" s="4" t="s">
        <v>19</v>
      </c>
      <c r="O1" s="4"/>
      <c r="P1" s="4"/>
      <c r="Q1" s="4" t="s">
        <v>21</v>
      </c>
      <c r="R1" s="4"/>
      <c r="S1" s="4"/>
      <c r="T1" s="4" t="s">
        <v>23</v>
      </c>
      <c r="U1" s="4"/>
      <c r="V1" s="4"/>
    </row>
    <row r="2" spans="1:48" s="3" customFormat="1">
      <c r="A2" s="21">
        <v>7</v>
      </c>
      <c r="B2" s="6" t="str" cm="1">
        <f t="array" ref="B2">INDEX(KalenderWochen,$A$2,2)</f>
        <v>12.02.</v>
      </c>
      <c r="C2" s="5"/>
      <c r="D2" s="6"/>
      <c r="E2" s="6" t="str" cm="1">
        <f t="array" ref="E2">INDEX(KalenderWochen,$A$2,3)</f>
        <v>13.02.</v>
      </c>
      <c r="F2" s="6"/>
      <c r="G2" s="6"/>
      <c r="H2" s="6" t="str" cm="1">
        <f t="array" ref="H2">INDEX(KalenderWochen,$A$2,4)</f>
        <v>14.02.</v>
      </c>
      <c r="I2" s="6"/>
      <c r="J2" s="6"/>
      <c r="K2" s="6" t="str" cm="1">
        <f t="array" ref="K2">INDEX(KalenderWochen,$A$2,5)</f>
        <v>15.02.</v>
      </c>
      <c r="L2" s="6"/>
      <c r="M2" s="6"/>
      <c r="N2" s="6" t="str" cm="1">
        <f t="array" ref="N2">INDEX(KalenderWochen,$A$2,6)</f>
        <v>16.02.</v>
      </c>
      <c r="O2" s="6"/>
      <c r="P2" s="6"/>
      <c r="Q2" s="6" t="str" cm="1">
        <f t="array" ref="Q2">INDEX(KalenderWochen,$A$2,7)</f>
        <v>17.02.</v>
      </c>
      <c r="R2" s="6"/>
      <c r="S2" s="6"/>
      <c r="T2" s="6" t="str" cm="1">
        <f t="array" ref="T2">INDEX(KalenderWochen,$A$2,8)</f>
        <v>18.02.</v>
      </c>
      <c r="U2" s="6"/>
      <c r="V2" s="6"/>
      <c r="Y2"/>
      <c r="Z2" s="2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1" customFormat="1">
      <c r="A3" s="4"/>
      <c r="B3" s="4" t="s">
        <v>0</v>
      </c>
      <c r="C3" s="7" t="s">
        <v>1</v>
      </c>
      <c r="D3" s="4" t="s">
        <v>2</v>
      </c>
      <c r="E3" s="4" t="s">
        <v>0</v>
      </c>
      <c r="F3" s="4" t="s">
        <v>1</v>
      </c>
      <c r="G3" s="4" t="s">
        <v>2</v>
      </c>
      <c r="H3" s="4" t="s">
        <v>0</v>
      </c>
      <c r="I3" s="4" t="s">
        <v>1</v>
      </c>
      <c r="J3" s="4" t="s">
        <v>2</v>
      </c>
      <c r="K3" s="4" t="s">
        <v>0</v>
      </c>
      <c r="L3" s="4" t="s">
        <v>1</v>
      </c>
      <c r="M3" s="4" t="s">
        <v>2</v>
      </c>
      <c r="N3" s="4" t="s">
        <v>0</v>
      </c>
      <c r="O3" s="4" t="s">
        <v>1</v>
      </c>
      <c r="P3" s="4" t="s">
        <v>2</v>
      </c>
      <c r="Q3" s="4" t="s">
        <v>0</v>
      </c>
      <c r="R3" s="4" t="s">
        <v>1</v>
      </c>
      <c r="S3" s="4" t="s">
        <v>2</v>
      </c>
      <c r="T3" s="4" t="s">
        <v>0</v>
      </c>
      <c r="U3" s="4" t="s">
        <v>1</v>
      </c>
      <c r="V3" s="4" t="s">
        <v>2</v>
      </c>
      <c r="Y3"/>
    </row>
    <row r="4" spans="1:48">
      <c r="A4" s="12"/>
      <c r="B4" s="8">
        <v>0.41666666666666669</v>
      </c>
      <c r="C4" s="10">
        <f>IF(ISBLANK(B5),"",(B5-B4))</f>
        <v>4.166666666666663E-2</v>
      </c>
      <c r="D4" s="9" t="s">
        <v>438</v>
      </c>
      <c r="E4" s="8">
        <v>0.34375</v>
      </c>
      <c r="F4" s="10">
        <f>IF(ISBLANK(E5),"",(E5-E4))</f>
        <v>7.2916666666666685E-2</v>
      </c>
      <c r="G4" s="9" t="s">
        <v>436</v>
      </c>
      <c r="H4" s="8">
        <v>0.33333333333333331</v>
      </c>
      <c r="I4" s="10">
        <f>IF(ISBLANK(H5),"",(H5-H4))</f>
        <v>0.16666666666666669</v>
      </c>
      <c r="J4" s="9" t="s">
        <v>415</v>
      </c>
      <c r="K4" s="8">
        <v>0.375</v>
      </c>
      <c r="L4" s="10">
        <f>IF(ISBLANK(K5),"",(K5-K4))</f>
        <v>1.0416666666666685E-2</v>
      </c>
      <c r="M4" s="9" t="s">
        <v>411</v>
      </c>
      <c r="N4" s="8">
        <v>0.39583333333333331</v>
      </c>
      <c r="O4" s="10">
        <f>IF(ISBLANK(N5),"",(N5-N4))</f>
        <v>4.1666666666666685E-2</v>
      </c>
      <c r="P4" s="9" t="s">
        <v>433</v>
      </c>
      <c r="Q4" s="8">
        <v>0.8125</v>
      </c>
      <c r="R4" s="10">
        <f>IF(ISBLANK(Q5),"",(Q5-Q4))</f>
        <v>0.125</v>
      </c>
      <c r="S4" s="9" t="s">
        <v>438</v>
      </c>
      <c r="T4" s="8">
        <v>0.29166666666666669</v>
      </c>
      <c r="U4" s="10">
        <f>IF(ISBLANK(T5),"",(T5-T4))</f>
        <v>8.3333333333333315E-2</v>
      </c>
      <c r="V4" s="9" t="s">
        <v>438</v>
      </c>
      <c r="Z4" s="24"/>
    </row>
    <row r="5" spans="1:48">
      <c r="A5" s="12"/>
      <c r="B5" s="8">
        <v>0.45833333333333331</v>
      </c>
      <c r="C5" s="10"/>
      <c r="D5" s="9" t="s">
        <v>3</v>
      </c>
      <c r="E5" s="8">
        <v>0.41666666666666669</v>
      </c>
      <c r="F5" s="10">
        <f t="shared" ref="F5:F19" si="0">IF(ISBLANK(E6),"",(E6-E5))</f>
        <v>6.25E-2</v>
      </c>
      <c r="G5" s="9" t="s">
        <v>433</v>
      </c>
      <c r="H5" s="8">
        <v>0.5</v>
      </c>
      <c r="I5" s="10">
        <f t="shared" ref="I5:I19" si="1">IF(ISBLANK(H6),"",(H6-H5))</f>
        <v>8.333333333333337E-2</v>
      </c>
      <c r="J5" s="9" t="s">
        <v>438</v>
      </c>
      <c r="K5" s="8">
        <v>0.38541666666666669</v>
      </c>
      <c r="L5" s="10">
        <f t="shared" ref="L5:L19" si="2">IF(ISBLANK(K6),"",(K6-K5))</f>
        <v>1.041666666666663E-2</v>
      </c>
      <c r="M5" s="9" t="s">
        <v>433</v>
      </c>
      <c r="N5" s="8">
        <v>0.4375</v>
      </c>
      <c r="O5" s="10">
        <f t="shared" ref="O5:O19" si="3">IF(ISBLANK(N6),"",(N6-N5))</f>
        <v>6.25E-2</v>
      </c>
      <c r="P5" s="9" t="s">
        <v>438</v>
      </c>
      <c r="Q5" s="8">
        <v>0.9375</v>
      </c>
      <c r="R5" s="10" t="str">
        <f t="shared" ref="R5:R19" si="4">IF(ISBLANK(Q6),"",(Q6-Q5))</f>
        <v/>
      </c>
      <c r="S5" s="9"/>
      <c r="T5" s="8">
        <v>0.375</v>
      </c>
      <c r="U5" s="10">
        <f t="shared" ref="U5:U19" si="5">IF(ISBLANK(T6),"",(T6-T5))</f>
        <v>0.125</v>
      </c>
      <c r="V5" s="9" t="s">
        <v>437</v>
      </c>
      <c r="Z5" s="24"/>
    </row>
    <row r="6" spans="1:48">
      <c r="A6" s="12"/>
      <c r="B6" s="8">
        <v>0.72916666666666663</v>
      </c>
      <c r="C6" s="10">
        <f t="shared" ref="C6:C19" si="6">IF(ISBLANK(B7),"",(B7-B6))</f>
        <v>1.0416666666666741E-2</v>
      </c>
      <c r="D6" s="9" t="s">
        <v>442</v>
      </c>
      <c r="E6" s="8">
        <v>0.47916666666666669</v>
      </c>
      <c r="F6" s="10">
        <f t="shared" si="0"/>
        <v>2.0833333333333315E-2</v>
      </c>
      <c r="G6" s="9" t="s">
        <v>10</v>
      </c>
      <c r="H6" s="8">
        <v>0.58333333333333337</v>
      </c>
      <c r="I6" s="10">
        <f t="shared" si="1"/>
        <v>0.10416666666666663</v>
      </c>
      <c r="J6" s="9" t="s">
        <v>410</v>
      </c>
      <c r="K6" s="8">
        <v>0.39583333333333331</v>
      </c>
      <c r="L6" s="10">
        <f t="shared" si="2"/>
        <v>0.11458333333333331</v>
      </c>
      <c r="M6" s="9" t="s">
        <v>412</v>
      </c>
      <c r="N6" s="8">
        <v>0.5</v>
      </c>
      <c r="O6" s="10">
        <f t="shared" si="3"/>
        <v>2.083333333333337E-2</v>
      </c>
      <c r="P6" s="9" t="s">
        <v>3</v>
      </c>
      <c r="Q6" s="8"/>
      <c r="R6" s="10" t="str">
        <f t="shared" si="4"/>
        <v/>
      </c>
      <c r="S6" s="9"/>
      <c r="T6" s="8">
        <v>0.5</v>
      </c>
      <c r="U6" s="10" t="str">
        <f t="shared" si="5"/>
        <v/>
      </c>
      <c r="V6" s="9"/>
      <c r="Z6" s="24"/>
    </row>
    <row r="7" spans="1:48">
      <c r="A7" s="12"/>
      <c r="B7" s="8">
        <v>0.73958333333333337</v>
      </c>
      <c r="C7" s="10">
        <f t="shared" si="6"/>
        <v>1.041666666666663E-2</v>
      </c>
      <c r="D7" s="9" t="s">
        <v>10</v>
      </c>
      <c r="E7" s="8">
        <v>0.5</v>
      </c>
      <c r="F7" s="10">
        <f t="shared" si="0"/>
        <v>8.333333333333337E-2</v>
      </c>
      <c r="G7" s="9" t="s">
        <v>426</v>
      </c>
      <c r="H7" s="8">
        <v>0.6875</v>
      </c>
      <c r="I7" s="10">
        <f t="shared" si="1"/>
        <v>8.333333333333337E-2</v>
      </c>
      <c r="J7" s="9" t="s">
        <v>3</v>
      </c>
      <c r="K7" s="8">
        <v>0.51041666666666663</v>
      </c>
      <c r="L7" s="10">
        <f t="shared" si="2"/>
        <v>4.1666666666666741E-2</v>
      </c>
      <c r="M7" s="9" t="s">
        <v>3</v>
      </c>
      <c r="N7" s="8">
        <v>0.52083333333333337</v>
      </c>
      <c r="O7" s="10">
        <f t="shared" si="3"/>
        <v>0.10416666666666663</v>
      </c>
      <c r="P7" s="9" t="s">
        <v>438</v>
      </c>
      <c r="Q7" s="8"/>
      <c r="R7" s="10" t="str">
        <f t="shared" si="4"/>
        <v/>
      </c>
      <c r="S7" s="9"/>
      <c r="T7" s="8"/>
      <c r="U7" s="10" t="str">
        <f t="shared" si="5"/>
        <v/>
      </c>
      <c r="V7" s="9"/>
      <c r="Z7" s="24"/>
    </row>
    <row r="8" spans="1:48">
      <c r="A8" s="12"/>
      <c r="B8" s="8">
        <v>0.75</v>
      </c>
      <c r="C8" s="10">
        <f t="shared" si="6"/>
        <v>8.333333333333337E-2</v>
      </c>
      <c r="D8" s="9" t="s">
        <v>442</v>
      </c>
      <c r="E8" s="8">
        <v>0.58333333333333337</v>
      </c>
      <c r="F8" s="10">
        <f t="shared" si="0"/>
        <v>1.041666666666663E-2</v>
      </c>
      <c r="G8" s="9" t="s">
        <v>10</v>
      </c>
      <c r="H8" s="8">
        <v>0.77083333333333337</v>
      </c>
      <c r="I8" s="10">
        <f t="shared" si="1"/>
        <v>2.0833333333333259E-2</v>
      </c>
      <c r="J8" s="9" t="s">
        <v>438</v>
      </c>
      <c r="K8" s="8">
        <v>0.55208333333333337</v>
      </c>
      <c r="L8" s="10">
        <f t="shared" si="2"/>
        <v>5.2083333333333259E-2</v>
      </c>
      <c r="M8" s="9" t="s">
        <v>412</v>
      </c>
      <c r="N8" s="8">
        <v>0.625</v>
      </c>
      <c r="O8" s="10" t="str">
        <f t="shared" si="3"/>
        <v/>
      </c>
      <c r="P8" s="9"/>
      <c r="Q8" s="8"/>
      <c r="R8" s="10" t="str">
        <f t="shared" si="4"/>
        <v/>
      </c>
      <c r="S8" s="9"/>
      <c r="T8" s="8"/>
      <c r="U8" s="10" t="str">
        <f t="shared" si="5"/>
        <v/>
      </c>
      <c r="V8" s="9"/>
      <c r="Z8" s="24"/>
    </row>
    <row r="9" spans="1:48">
      <c r="A9" s="12"/>
      <c r="B9" s="8">
        <v>0.83333333333333337</v>
      </c>
      <c r="C9" s="10">
        <f t="shared" si="6"/>
        <v>0.10416666666666663</v>
      </c>
      <c r="D9" s="9" t="s">
        <v>419</v>
      </c>
      <c r="E9" s="8">
        <v>0.59375</v>
      </c>
      <c r="F9" s="10">
        <f t="shared" si="0"/>
        <v>3.125E-2</v>
      </c>
      <c r="G9" s="9" t="s">
        <v>421</v>
      </c>
      <c r="H9" s="8">
        <v>0.79166666666666663</v>
      </c>
      <c r="I9" s="10">
        <f t="shared" si="1"/>
        <v>6.9444444444445308E-3</v>
      </c>
      <c r="J9" s="9" t="s">
        <v>10</v>
      </c>
      <c r="K9" s="8">
        <v>0.60416666666666663</v>
      </c>
      <c r="L9" s="10">
        <f t="shared" si="2"/>
        <v>2.083333333333337E-2</v>
      </c>
      <c r="M9" s="9" t="s">
        <v>433</v>
      </c>
      <c r="N9" s="8"/>
      <c r="O9" s="10" t="str">
        <f t="shared" si="3"/>
        <v/>
      </c>
      <c r="P9" s="9"/>
      <c r="Q9" s="8"/>
      <c r="R9" s="10" t="str">
        <f t="shared" si="4"/>
        <v/>
      </c>
      <c r="S9" s="9"/>
      <c r="T9" s="8"/>
      <c r="U9" s="10" t="str">
        <f t="shared" si="5"/>
        <v/>
      </c>
      <c r="V9" s="9"/>
      <c r="Z9" s="24"/>
    </row>
    <row r="10" spans="1:48">
      <c r="A10" s="12"/>
      <c r="B10" s="8">
        <v>0.9375</v>
      </c>
      <c r="C10" s="10" t="str">
        <f t="shared" si="6"/>
        <v/>
      </c>
      <c r="D10" s="9"/>
      <c r="E10" s="8">
        <v>0.625</v>
      </c>
      <c r="F10" s="10">
        <f t="shared" si="0"/>
        <v>2.083333333333337E-2</v>
      </c>
      <c r="G10" s="9" t="s">
        <v>406</v>
      </c>
      <c r="H10" s="8">
        <v>0.79861111111111116</v>
      </c>
      <c r="I10" s="10">
        <f t="shared" si="1"/>
        <v>7.638888888888884E-2</v>
      </c>
      <c r="J10" s="9" t="s">
        <v>437</v>
      </c>
      <c r="K10" s="8">
        <v>0.625</v>
      </c>
      <c r="L10" s="10" t="str">
        <f t="shared" si="2"/>
        <v/>
      </c>
      <c r="M10" s="9"/>
      <c r="N10" s="8"/>
      <c r="O10" s="10" t="str">
        <f t="shared" si="3"/>
        <v/>
      </c>
      <c r="P10" s="9"/>
      <c r="Q10" s="8"/>
      <c r="R10" s="10" t="str">
        <f t="shared" si="4"/>
        <v/>
      </c>
      <c r="S10" s="9"/>
      <c r="T10" s="8"/>
      <c r="U10" s="10" t="str">
        <f t="shared" si="5"/>
        <v/>
      </c>
      <c r="V10" s="9"/>
      <c r="Z10" s="24"/>
    </row>
    <row r="11" spans="1:48">
      <c r="A11" s="12"/>
      <c r="B11" s="8"/>
      <c r="C11" s="10" t="str">
        <f t="shared" si="6"/>
        <v/>
      </c>
      <c r="D11" s="9"/>
      <c r="E11" s="8">
        <v>0.64583333333333337</v>
      </c>
      <c r="F11" s="10">
        <f t="shared" si="0"/>
        <v>4.166666666666663E-2</v>
      </c>
      <c r="G11" s="9" t="s">
        <v>3</v>
      </c>
      <c r="H11" s="8">
        <v>0.875</v>
      </c>
      <c r="I11" s="10" t="str">
        <f t="shared" si="1"/>
        <v/>
      </c>
      <c r="J11" s="9"/>
      <c r="K11" s="8"/>
      <c r="L11" s="10" t="str">
        <f t="shared" si="2"/>
        <v/>
      </c>
      <c r="M11" s="9"/>
      <c r="N11" s="8"/>
      <c r="O11" s="10" t="str">
        <f t="shared" si="3"/>
        <v/>
      </c>
      <c r="P11" s="9"/>
      <c r="Q11" s="8"/>
      <c r="R11" s="10" t="str">
        <f t="shared" si="4"/>
        <v/>
      </c>
      <c r="S11" s="9"/>
      <c r="T11" s="8"/>
      <c r="U11" s="10" t="str">
        <f t="shared" si="5"/>
        <v/>
      </c>
      <c r="V11" s="9"/>
      <c r="Z11" s="24"/>
    </row>
    <row r="12" spans="1:48">
      <c r="A12" s="12"/>
      <c r="B12" s="8"/>
      <c r="C12" s="10" t="str">
        <f t="shared" si="6"/>
        <v/>
      </c>
      <c r="D12" s="9"/>
      <c r="E12" s="8">
        <v>0.6875</v>
      </c>
      <c r="F12" s="10">
        <f t="shared" si="0"/>
        <v>7.291666666666663E-2</v>
      </c>
      <c r="G12" s="9" t="s">
        <v>410</v>
      </c>
      <c r="H12" s="8"/>
      <c r="I12" s="10" t="str">
        <f t="shared" si="1"/>
        <v/>
      </c>
      <c r="J12" s="9"/>
      <c r="K12" s="8"/>
      <c r="L12" s="10" t="str">
        <f t="shared" si="2"/>
        <v/>
      </c>
      <c r="M12" s="9"/>
      <c r="N12" s="8"/>
      <c r="O12" s="10" t="str">
        <f t="shared" si="3"/>
        <v/>
      </c>
      <c r="P12" s="9"/>
      <c r="Q12" s="8"/>
      <c r="R12" s="10" t="str">
        <f t="shared" si="4"/>
        <v/>
      </c>
      <c r="S12" s="9"/>
      <c r="T12" s="8"/>
      <c r="U12" s="10" t="str">
        <f t="shared" si="5"/>
        <v/>
      </c>
      <c r="V12" s="9"/>
      <c r="Z12" s="24"/>
    </row>
    <row r="13" spans="1:48">
      <c r="A13" s="12"/>
      <c r="B13" s="8"/>
      <c r="C13" s="10" t="str">
        <f t="shared" si="6"/>
        <v/>
      </c>
      <c r="D13" s="9"/>
      <c r="E13" s="8">
        <v>0.76041666666666663</v>
      </c>
      <c r="F13" s="10">
        <f t="shared" si="0"/>
        <v>3.125E-2</v>
      </c>
      <c r="G13" s="9" t="s">
        <v>3</v>
      </c>
      <c r="H13" s="8"/>
      <c r="I13" s="10" t="str">
        <f t="shared" si="1"/>
        <v/>
      </c>
      <c r="J13" s="9"/>
      <c r="K13" s="8"/>
      <c r="L13" s="10" t="str">
        <f t="shared" si="2"/>
        <v/>
      </c>
      <c r="M13" s="9"/>
      <c r="N13" s="8"/>
      <c r="O13" s="10" t="str">
        <f t="shared" si="3"/>
        <v/>
      </c>
      <c r="P13" s="9"/>
      <c r="Q13" s="8"/>
      <c r="R13" s="10" t="str">
        <f t="shared" si="4"/>
        <v/>
      </c>
      <c r="S13" s="9"/>
      <c r="T13" s="8"/>
      <c r="U13" s="10" t="str">
        <f t="shared" si="5"/>
        <v/>
      </c>
      <c r="V13" s="9"/>
      <c r="Z13" s="24"/>
    </row>
    <row r="14" spans="1:48">
      <c r="A14" s="12"/>
      <c r="B14" s="8"/>
      <c r="C14" s="10" t="str">
        <f t="shared" si="6"/>
        <v/>
      </c>
      <c r="D14" s="9"/>
      <c r="E14" s="8">
        <v>0.79166666666666663</v>
      </c>
      <c r="F14" s="10">
        <f t="shared" si="0"/>
        <v>4.861111111111116E-2</v>
      </c>
      <c r="G14" s="9" t="s">
        <v>454</v>
      </c>
      <c r="H14" s="8"/>
      <c r="I14" s="10" t="str">
        <f t="shared" si="1"/>
        <v/>
      </c>
      <c r="J14" s="9"/>
      <c r="K14" s="8"/>
      <c r="L14" s="10" t="str">
        <f t="shared" si="2"/>
        <v/>
      </c>
      <c r="M14" s="9"/>
      <c r="N14" s="8"/>
      <c r="O14" s="10" t="str">
        <f t="shared" si="3"/>
        <v/>
      </c>
      <c r="P14" s="9"/>
      <c r="Q14" s="8"/>
      <c r="R14" s="10" t="str">
        <f t="shared" si="4"/>
        <v/>
      </c>
      <c r="S14" s="9"/>
      <c r="T14" s="8"/>
      <c r="U14" s="10" t="str">
        <f t="shared" si="5"/>
        <v/>
      </c>
      <c r="V14" s="9"/>
      <c r="Z14" s="24"/>
    </row>
    <row r="15" spans="1:48">
      <c r="A15" s="12"/>
      <c r="B15" s="8"/>
      <c r="C15" s="10" t="str">
        <f t="shared" si="6"/>
        <v/>
      </c>
      <c r="D15" s="9"/>
      <c r="E15" s="8">
        <v>0.84027777777777779</v>
      </c>
      <c r="F15" s="10">
        <f t="shared" si="0"/>
        <v>3.472222222222221E-2</v>
      </c>
      <c r="G15" s="9" t="s">
        <v>3</v>
      </c>
      <c r="H15" s="8"/>
      <c r="I15" s="10" t="str">
        <f t="shared" si="1"/>
        <v/>
      </c>
      <c r="J15" s="9"/>
      <c r="K15" s="8"/>
      <c r="L15" s="10" t="str">
        <f t="shared" si="2"/>
        <v/>
      </c>
      <c r="M15" s="9"/>
      <c r="N15" s="8"/>
      <c r="O15" s="10" t="str">
        <f t="shared" si="3"/>
        <v/>
      </c>
      <c r="P15" s="9"/>
      <c r="Q15" s="8"/>
      <c r="R15" s="10" t="str">
        <f t="shared" si="4"/>
        <v/>
      </c>
      <c r="S15" s="9"/>
      <c r="T15" s="8"/>
      <c r="U15" s="10" t="str">
        <f t="shared" si="5"/>
        <v/>
      </c>
      <c r="V15" s="9"/>
      <c r="Z15" s="24"/>
    </row>
    <row r="16" spans="1:48">
      <c r="A16" s="12"/>
      <c r="B16" s="8"/>
      <c r="C16" s="10" t="str">
        <f t="shared" si="6"/>
        <v/>
      </c>
      <c r="D16" s="9"/>
      <c r="E16" s="8">
        <v>0.875</v>
      </c>
      <c r="F16" s="10">
        <f t="shared" si="0"/>
        <v>1.041666666666663E-2</v>
      </c>
      <c r="G16" s="9" t="s">
        <v>411</v>
      </c>
      <c r="H16" s="8"/>
      <c r="I16" s="10" t="str">
        <f t="shared" si="1"/>
        <v/>
      </c>
      <c r="J16" s="9"/>
      <c r="K16" s="8"/>
      <c r="L16" s="10" t="str">
        <f t="shared" si="2"/>
        <v/>
      </c>
      <c r="M16" s="9"/>
      <c r="N16" s="8"/>
      <c r="O16" s="10" t="str">
        <f t="shared" si="3"/>
        <v/>
      </c>
      <c r="P16" s="9"/>
      <c r="Q16" s="8"/>
      <c r="R16" s="10" t="str">
        <f t="shared" si="4"/>
        <v/>
      </c>
      <c r="S16" s="9"/>
      <c r="T16" s="8"/>
      <c r="U16" s="10" t="str">
        <f t="shared" si="5"/>
        <v/>
      </c>
      <c r="V16" s="9"/>
      <c r="Z16" s="24"/>
    </row>
    <row r="17" spans="1:48">
      <c r="A17" s="12"/>
      <c r="B17" s="8"/>
      <c r="C17" s="10" t="str">
        <f t="shared" si="6"/>
        <v/>
      </c>
      <c r="D17" s="9"/>
      <c r="E17" s="8">
        <v>0.88541666666666663</v>
      </c>
      <c r="F17" s="10">
        <f t="shared" si="0"/>
        <v>7.2916666666666741E-2</v>
      </c>
      <c r="G17" s="9" t="s">
        <v>438</v>
      </c>
      <c r="H17" s="8"/>
      <c r="I17" s="10" t="str">
        <f t="shared" si="1"/>
        <v/>
      </c>
      <c r="J17" s="9"/>
      <c r="K17" s="8"/>
      <c r="L17" s="10" t="str">
        <f t="shared" si="2"/>
        <v/>
      </c>
      <c r="M17" s="9"/>
      <c r="N17" s="8"/>
      <c r="O17" s="10" t="str">
        <f t="shared" si="3"/>
        <v/>
      </c>
      <c r="P17" s="9"/>
      <c r="Q17" s="8"/>
      <c r="R17" s="10" t="str">
        <f t="shared" si="4"/>
        <v/>
      </c>
      <c r="S17" s="9"/>
      <c r="T17" s="8"/>
      <c r="U17" s="10" t="str">
        <f t="shared" si="5"/>
        <v/>
      </c>
      <c r="V17" s="9"/>
      <c r="Z17" s="24"/>
    </row>
    <row r="18" spans="1:48">
      <c r="A18" s="12"/>
      <c r="B18" s="8"/>
      <c r="C18" s="10" t="str">
        <f t="shared" si="6"/>
        <v/>
      </c>
      <c r="D18" s="9"/>
      <c r="E18" s="8">
        <v>0.95833333333333337</v>
      </c>
      <c r="F18" s="10" t="str">
        <f t="shared" si="0"/>
        <v/>
      </c>
      <c r="G18" s="9"/>
      <c r="H18" s="8"/>
      <c r="I18" s="10" t="str">
        <f t="shared" si="1"/>
        <v/>
      </c>
      <c r="J18" s="9"/>
      <c r="K18" s="8"/>
      <c r="L18" s="10" t="str">
        <f t="shared" si="2"/>
        <v/>
      </c>
      <c r="M18" s="9"/>
      <c r="N18" s="8"/>
      <c r="O18" s="10" t="str">
        <f t="shared" si="3"/>
        <v/>
      </c>
      <c r="P18" s="9"/>
      <c r="Q18" s="8"/>
      <c r="R18" s="10" t="str">
        <f t="shared" si="4"/>
        <v/>
      </c>
      <c r="S18" s="9"/>
      <c r="T18" s="8"/>
      <c r="U18" s="10" t="str">
        <f t="shared" si="5"/>
        <v/>
      </c>
      <c r="V18" s="9"/>
      <c r="Z18" s="24"/>
    </row>
    <row r="19" spans="1:48">
      <c r="A19" s="12"/>
      <c r="B19" s="8"/>
      <c r="C19" s="10" t="str">
        <f t="shared" si="6"/>
        <v/>
      </c>
      <c r="D19" s="9"/>
      <c r="E19" s="8"/>
      <c r="F19" s="10" t="str">
        <f t="shared" si="0"/>
        <v/>
      </c>
      <c r="G19" s="9"/>
      <c r="H19" s="8"/>
      <c r="I19" s="10" t="str">
        <f t="shared" si="1"/>
        <v/>
      </c>
      <c r="J19" s="9"/>
      <c r="K19" s="8"/>
      <c r="L19" s="10" t="str">
        <f t="shared" si="2"/>
        <v/>
      </c>
      <c r="M19" s="9"/>
      <c r="N19" s="8"/>
      <c r="O19" s="10" t="str">
        <f t="shared" si="3"/>
        <v/>
      </c>
      <c r="P19" s="9"/>
      <c r="Q19" s="8"/>
      <c r="R19" s="10" t="str">
        <f t="shared" si="4"/>
        <v/>
      </c>
      <c r="S19" s="9"/>
      <c r="T19" s="8"/>
      <c r="U19" s="10" t="str">
        <f t="shared" si="5"/>
        <v/>
      </c>
      <c r="V19" s="9"/>
      <c r="Z19" s="24"/>
    </row>
    <row r="20" spans="1:48">
      <c r="A20" s="12"/>
      <c r="B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W20" t="s">
        <v>25</v>
      </c>
      <c r="Z20" s="24"/>
    </row>
    <row r="21" spans="1:48">
      <c r="A21" s="7" t="s">
        <v>5</v>
      </c>
      <c r="B21" s="19"/>
      <c r="C21" s="13">
        <v>0</v>
      </c>
      <c r="D21" s="13"/>
      <c r="E21" s="13"/>
      <c r="F21" s="13">
        <v>10</v>
      </c>
      <c r="G21" s="13"/>
      <c r="H21" s="13"/>
      <c r="I21" s="13">
        <v>8</v>
      </c>
      <c r="J21" s="13"/>
      <c r="K21" s="13"/>
      <c r="L21" s="13">
        <v>8</v>
      </c>
      <c r="M21" s="13"/>
      <c r="N21" s="13"/>
      <c r="O21" s="13">
        <v>8</v>
      </c>
      <c r="P21" s="13"/>
      <c r="Q21" s="13"/>
      <c r="R21" s="13">
        <v>2</v>
      </c>
      <c r="S21" s="13"/>
      <c r="T21" s="13"/>
      <c r="U21" s="13">
        <f>IF(AND((COUNTIF(V4:V19,"Krank")=0),COUNTIF(V4:V19,"Feiertag")=0),5,0)</f>
        <v>5</v>
      </c>
      <c r="V21" s="19"/>
      <c r="W21" s="13">
        <f>SUM(C21:V21)</f>
        <v>41</v>
      </c>
      <c r="Z21" s="24"/>
    </row>
    <row r="22" spans="1:48" s="2" customFormat="1">
      <c r="A22" s="7" t="s">
        <v>26</v>
      </c>
      <c r="B22" s="13"/>
      <c r="C22" s="13" cm="1">
        <f t="array" ref="C22">SG_SUMHOURS(C4:C19,D4:D19)</f>
        <v>6</v>
      </c>
      <c r="D22" s="19"/>
      <c r="E22" s="13"/>
      <c r="F22" s="13" cm="1">
        <f t="array" ref="F22">SG_SUMHOURS(F4:F19,G4:G19)</f>
        <v>12.16666666666667</v>
      </c>
      <c r="G22" s="13"/>
      <c r="H22" s="13"/>
      <c r="I22" s="13" cm="1">
        <f t="array" ref="I22">SG_SUMHOURS(I4:I19,J4:J19)</f>
        <v>11</v>
      </c>
      <c r="J22" s="13"/>
      <c r="K22" s="13"/>
      <c r="L22" s="13" cm="1">
        <f t="array" ref="L22">SG_SUMHOURS(L4:L19,M4:M19)</f>
        <v>4.9999999999999982</v>
      </c>
      <c r="M22" s="13"/>
      <c r="N22" s="13"/>
      <c r="O22" s="13" cm="1">
        <f t="array" ref="O22">SG_SUMHOURS(O4:O19,P4:P19)</f>
        <v>5</v>
      </c>
      <c r="P22" s="13"/>
      <c r="Q22" s="13"/>
      <c r="R22" s="13" cm="1">
        <f t="array" ref="R22">SG_SUMHOURS(R4:R19,S4:S19)</f>
        <v>3</v>
      </c>
      <c r="S22" s="13"/>
      <c r="T22" s="13"/>
      <c r="U22" s="13" cm="1">
        <f t="array" ref="U22">SG_SUMHOURS(U4:U19,V4:V19)</f>
        <v>5</v>
      </c>
      <c r="V22" s="13"/>
      <c r="W22" s="20">
        <f>SUM(C22:V22)</f>
        <v>47.166666666666671</v>
      </c>
      <c r="Z22" s="24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4"/>
      <c r="B23" s="14"/>
      <c r="V23" s="4" t="s">
        <v>389</v>
      </c>
      <c r="W23" s="13">
        <f>W22-W21</f>
        <v>6.1666666666666714</v>
      </c>
      <c r="Z23" s="24"/>
    </row>
    <row r="24" spans="1:48" s="1" customFormat="1">
      <c r="C24" s="11"/>
      <c r="V24" s="4" t="s">
        <v>386</v>
      </c>
      <c r="W24" s="22">
        <v>-4.4000000000000004</v>
      </c>
      <c r="Y24"/>
      <c r="Z24" s="24"/>
    </row>
    <row r="25" spans="1:48">
      <c r="V25" s="4" t="s">
        <v>387</v>
      </c>
      <c r="W25" s="20">
        <f>SUM(W23:W24)</f>
        <v>1.766666666666671</v>
      </c>
      <c r="Z25" s="24"/>
    </row>
    <row r="26" spans="1:48">
      <c r="J26" s="23"/>
      <c r="Z26" s="24"/>
    </row>
    <row r="27" spans="1:48">
      <c r="Z27" s="24"/>
    </row>
    <row r="28" spans="1:48">
      <c r="Z28" s="24"/>
    </row>
  </sheetData>
  <dataValidations count="1">
    <dataValidation type="list" allowBlank="1" showInputMessage="1" showErrorMessage="1" sqref="V4:V19 G4:G19 J4:J19 M4:M19 P4:P19 S4:S19 D4:D19" xr:uid="{E26D2760-1389-42D8-ADB8-8B155B04DBFF}">
      <formula1>Tätigkeiten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54E06-D849-49B4-83D2-A855AD883A23}">
  <sheetPr codeName="Sheet12"/>
  <dimension ref="A1:AV28"/>
  <sheetViews>
    <sheetView zoomScale="115" zoomScaleNormal="115" workbookViewId="0">
      <selection activeCell="T8" sqref="T8"/>
    </sheetView>
  </sheetViews>
  <sheetFormatPr defaultColWidth="10.90625" defaultRowHeight="14.5"/>
  <cols>
    <col min="1" max="1" width="6.36328125" bestFit="1" customWidth="1"/>
    <col min="2" max="2" width="6.1796875" bestFit="1" customWidth="1"/>
    <col min="3" max="3" width="6.08984375" style="2" bestFit="1" customWidth="1"/>
    <col min="4" max="4" width="7.36328125" customWidth="1"/>
    <col min="5" max="5" width="6.1796875" bestFit="1" customWidth="1"/>
    <col min="6" max="6" width="6.08984375" bestFit="1" customWidth="1"/>
    <col min="7" max="7" width="31.08984375" bestFit="1" customWidth="1"/>
    <col min="8" max="8" width="6.1796875" bestFit="1" customWidth="1"/>
    <col min="9" max="9" width="6.08984375" bestFit="1" customWidth="1"/>
    <col min="10" max="10" width="31.08984375" bestFit="1" customWidth="1"/>
    <col min="11" max="11" width="8" bestFit="1" customWidth="1"/>
    <col min="12" max="12" width="6.08984375" bestFit="1" customWidth="1"/>
    <col min="13" max="13" width="11.81640625" customWidth="1"/>
    <col min="14" max="14" width="6.1796875" bestFit="1" customWidth="1"/>
    <col min="15" max="15" width="6.08984375" bestFit="1" customWidth="1"/>
    <col min="16" max="16" width="17.6328125" bestFit="1" customWidth="1"/>
    <col min="17" max="17" width="6.1796875" bestFit="1" customWidth="1"/>
    <col min="18" max="18" width="6.08984375" bestFit="1" customWidth="1"/>
    <col min="19" max="19" width="17.6328125" bestFit="1" customWidth="1"/>
    <col min="20" max="20" width="6.1796875" bestFit="1" customWidth="1"/>
    <col min="21" max="21" width="6.08984375" bestFit="1" customWidth="1"/>
    <col min="22" max="22" width="12.6328125" bestFit="1" customWidth="1"/>
    <col min="23" max="23" width="7.1796875" bestFit="1" customWidth="1"/>
    <col min="25" max="25" width="39.36328125" bestFit="1" customWidth="1"/>
  </cols>
  <sheetData>
    <row r="1" spans="1:48" s="1" customFormat="1">
      <c r="A1" s="4" t="s">
        <v>27</v>
      </c>
      <c r="B1" s="4" t="s">
        <v>11</v>
      </c>
      <c r="C1" s="5"/>
      <c r="D1" s="4"/>
      <c r="E1" s="4" t="s">
        <v>13</v>
      </c>
      <c r="F1" s="4"/>
      <c r="G1" s="4"/>
      <c r="H1" s="4" t="s">
        <v>15</v>
      </c>
      <c r="I1" s="4"/>
      <c r="J1" s="4"/>
      <c r="K1" s="4" t="s">
        <v>17</v>
      </c>
      <c r="L1" s="4"/>
      <c r="M1" s="4"/>
      <c r="N1" s="4" t="s">
        <v>19</v>
      </c>
      <c r="O1" s="4"/>
      <c r="P1" s="4"/>
      <c r="Q1" s="4" t="s">
        <v>21</v>
      </c>
      <c r="R1" s="4"/>
      <c r="S1" s="4"/>
      <c r="T1" s="4" t="s">
        <v>23</v>
      </c>
      <c r="U1" s="4"/>
      <c r="V1" s="4"/>
    </row>
    <row r="2" spans="1:48" s="3" customFormat="1">
      <c r="A2" s="21">
        <v>9</v>
      </c>
      <c r="B2" s="6" t="str" cm="1">
        <f t="array" ref="B2">INDEX(KalenderWochen,$A$2,2)</f>
        <v>26.02.</v>
      </c>
      <c r="C2" s="5"/>
      <c r="D2" s="6"/>
      <c r="E2" s="6" t="str" cm="1">
        <f t="array" ref="E2">INDEX(KalenderWochen,$A$2,3)</f>
        <v>27.02.</v>
      </c>
      <c r="F2" s="6"/>
      <c r="G2" s="6"/>
      <c r="H2" s="6" t="str" cm="1">
        <f t="array" ref="H2">INDEX(KalenderWochen,$A$2,4)</f>
        <v>28.02.</v>
      </c>
      <c r="I2" s="6"/>
      <c r="J2" s="6"/>
      <c r="K2" s="6" t="str" cm="1">
        <f t="array" ref="K2">INDEX(KalenderWochen,$A$2,5)</f>
        <v>29.02.</v>
      </c>
      <c r="L2" s="6"/>
      <c r="M2" s="6"/>
      <c r="N2" s="6" t="str" cm="1">
        <f t="array" ref="N2">INDEX(KalenderWochen,$A$2,6)</f>
        <v>01.03.</v>
      </c>
      <c r="O2" s="6"/>
      <c r="P2" s="6"/>
      <c r="Q2" s="6" t="str" cm="1">
        <f t="array" ref="Q2">INDEX(KalenderWochen,$A$2,7)</f>
        <v>02.03.</v>
      </c>
      <c r="R2" s="6"/>
      <c r="S2" s="6"/>
      <c r="T2" s="6" t="str" cm="1">
        <f t="array" ref="T2">INDEX(KalenderWochen,$A$2,8)</f>
        <v>03.03.</v>
      </c>
      <c r="U2" s="6"/>
      <c r="V2" s="6"/>
      <c r="Y2"/>
      <c r="Z2" s="2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1" customFormat="1">
      <c r="A3" s="4"/>
      <c r="B3" s="4" t="s">
        <v>0</v>
      </c>
      <c r="C3" s="7" t="s">
        <v>1</v>
      </c>
      <c r="D3" s="4" t="s">
        <v>2</v>
      </c>
      <c r="E3" s="4" t="s">
        <v>0</v>
      </c>
      <c r="F3" s="4" t="s">
        <v>1</v>
      </c>
      <c r="G3" s="4" t="s">
        <v>2</v>
      </c>
      <c r="H3" s="4" t="s">
        <v>0</v>
      </c>
      <c r="I3" s="4" t="s">
        <v>1</v>
      </c>
      <c r="J3" s="4" t="s">
        <v>2</v>
      </c>
      <c r="K3" s="4" t="s">
        <v>0</v>
      </c>
      <c r="L3" s="4" t="s">
        <v>1</v>
      </c>
      <c r="M3" s="4" t="s">
        <v>2</v>
      </c>
      <c r="N3" s="4" t="s">
        <v>0</v>
      </c>
      <c r="O3" s="4" t="s">
        <v>1</v>
      </c>
      <c r="P3" s="4" t="s">
        <v>2</v>
      </c>
      <c r="Q3" s="4" t="s">
        <v>0</v>
      </c>
      <c r="R3" s="4" t="s">
        <v>1</v>
      </c>
      <c r="S3" s="4" t="s">
        <v>2</v>
      </c>
      <c r="T3" s="4" t="s">
        <v>0</v>
      </c>
      <c r="U3" s="4" t="s">
        <v>1</v>
      </c>
      <c r="V3" s="4" t="s">
        <v>2</v>
      </c>
      <c r="Y3"/>
    </row>
    <row r="4" spans="1:48">
      <c r="A4" s="12" t="s">
        <v>458</v>
      </c>
      <c r="B4" s="8"/>
      <c r="C4" s="10" t="str">
        <f>IF(ISBLANK(B5),"",(B5-B4))</f>
        <v/>
      </c>
      <c r="D4" s="9"/>
      <c r="E4" s="8">
        <v>0.35416666666666669</v>
      </c>
      <c r="F4" s="10">
        <f>IF(ISBLANK(E5),"",(E5-E4))</f>
        <v>0.16666666666666669</v>
      </c>
      <c r="G4" s="9" t="s">
        <v>433</v>
      </c>
      <c r="H4" s="8">
        <v>0.33333333333333331</v>
      </c>
      <c r="I4" s="10">
        <f>IF(ISBLANK(H5),"",(H5-H4))</f>
        <v>2.083333333333337E-2</v>
      </c>
      <c r="J4" s="9" t="s">
        <v>433</v>
      </c>
      <c r="K4" s="8">
        <v>0.33333333333333331</v>
      </c>
      <c r="L4" s="10">
        <f>IF(ISBLANK(K5),"",(K5-K4))</f>
        <v>8.333333333333337E-2</v>
      </c>
      <c r="M4" s="9" t="s">
        <v>433</v>
      </c>
      <c r="N4" s="8">
        <v>0.33333333333333331</v>
      </c>
      <c r="O4" s="10">
        <f>IF(ISBLANK(N5),"",(N5-N4))</f>
        <v>6.25E-2</v>
      </c>
      <c r="P4" s="9" t="s">
        <v>421</v>
      </c>
      <c r="Q4" s="8">
        <v>0.85416666666666663</v>
      </c>
      <c r="R4" s="10">
        <f>IF(ISBLANK(Q5),"",(Q5-Q4))</f>
        <v>0.14583333333333337</v>
      </c>
      <c r="S4" s="9" t="s">
        <v>438</v>
      </c>
      <c r="T4" s="8">
        <v>0.3125</v>
      </c>
      <c r="U4" s="10">
        <f>IF(ISBLANK(T5),"",(T5-T4))</f>
        <v>0.10416666666666669</v>
      </c>
      <c r="V4" s="9" t="s">
        <v>438</v>
      </c>
      <c r="Z4" s="24"/>
    </row>
    <row r="5" spans="1:48">
      <c r="A5" s="12"/>
      <c r="B5" s="8"/>
      <c r="C5" s="10" t="str">
        <f t="shared" ref="C5:C19" si="0">IF(ISBLANK(B6),"",(B6-B5))</f>
        <v/>
      </c>
      <c r="D5" s="9"/>
      <c r="E5" s="8">
        <v>0.52083333333333337</v>
      </c>
      <c r="F5" s="10">
        <f t="shared" ref="F5:F19" si="1">IF(ISBLANK(E6),"",(E6-E5))</f>
        <v>6.25E-2</v>
      </c>
      <c r="G5" s="9" t="s">
        <v>3</v>
      </c>
      <c r="H5" s="8">
        <v>0.35416666666666669</v>
      </c>
      <c r="I5" s="10">
        <f t="shared" ref="I5:I19" si="2">IF(ISBLANK(H6),"",(H6-H5))</f>
        <v>2.0833333333333315E-2</v>
      </c>
      <c r="J5" s="9" t="s">
        <v>10</v>
      </c>
      <c r="K5" s="8">
        <v>0.41666666666666669</v>
      </c>
      <c r="L5" s="10">
        <f t="shared" ref="L5:L19" si="3">IF(ISBLANK(K6),"",(K6-K5))</f>
        <v>2.0833333333333315E-2</v>
      </c>
      <c r="M5" s="9" t="s">
        <v>439</v>
      </c>
      <c r="N5" s="8">
        <v>0.39583333333333331</v>
      </c>
      <c r="O5" s="10">
        <f t="shared" ref="O5:O19" si="4">IF(ISBLANK(N6),"",(N6-N5))</f>
        <v>0.10416666666666669</v>
      </c>
      <c r="P5" s="9" t="s">
        <v>406</v>
      </c>
      <c r="Q5" s="8">
        <v>1</v>
      </c>
      <c r="R5" s="10" t="str">
        <f t="shared" ref="R5:R19" si="5">IF(ISBLANK(Q6),"",(Q6-Q5))</f>
        <v/>
      </c>
      <c r="S5" s="9"/>
      <c r="T5" s="8">
        <v>0.41666666666666669</v>
      </c>
      <c r="U5" s="10">
        <f t="shared" ref="U5:U19" si="6">IF(ISBLANK(T6),"",(T6-T5))</f>
        <v>8.3333333333333315E-2</v>
      </c>
      <c r="V5" s="9" t="s">
        <v>437</v>
      </c>
      <c r="Z5" s="24"/>
    </row>
    <row r="6" spans="1:48">
      <c r="A6" s="12"/>
      <c r="B6" s="8"/>
      <c r="C6" s="10" t="str">
        <f t="shared" si="0"/>
        <v/>
      </c>
      <c r="D6" s="9"/>
      <c r="E6" s="8">
        <v>0.58333333333333337</v>
      </c>
      <c r="F6" s="10">
        <f t="shared" si="1"/>
        <v>4.166666666666663E-2</v>
      </c>
      <c r="G6" s="9" t="s">
        <v>426</v>
      </c>
      <c r="H6" s="8">
        <v>0.375</v>
      </c>
      <c r="I6" s="10">
        <f t="shared" si="2"/>
        <v>0.125</v>
      </c>
      <c r="J6" s="9" t="s">
        <v>415</v>
      </c>
      <c r="K6" s="8">
        <v>0.4375</v>
      </c>
      <c r="L6" s="10">
        <f t="shared" si="3"/>
        <v>0.10416666666666663</v>
      </c>
      <c r="M6" s="9" t="s">
        <v>3</v>
      </c>
      <c r="N6" s="8">
        <v>0.5</v>
      </c>
      <c r="O6" s="10">
        <f t="shared" si="4"/>
        <v>4.166666666666663E-2</v>
      </c>
      <c r="P6" s="9" t="s">
        <v>3</v>
      </c>
      <c r="Q6" s="8"/>
      <c r="R6" s="10" t="str">
        <f t="shared" si="5"/>
        <v/>
      </c>
      <c r="S6" s="9"/>
      <c r="T6" s="8">
        <v>0.5</v>
      </c>
      <c r="U6" s="10" t="str">
        <f t="shared" si="6"/>
        <v/>
      </c>
      <c r="V6" s="9"/>
      <c r="Z6" s="24"/>
    </row>
    <row r="7" spans="1:48">
      <c r="A7" s="12"/>
      <c r="B7" s="8"/>
      <c r="C7" s="10" t="str">
        <f t="shared" si="0"/>
        <v/>
      </c>
      <c r="D7" s="9"/>
      <c r="E7" s="8">
        <v>0.625</v>
      </c>
      <c r="F7" s="10">
        <f t="shared" si="1"/>
        <v>4.166666666666663E-2</v>
      </c>
      <c r="G7" s="9" t="s">
        <v>433</v>
      </c>
      <c r="H7" s="8">
        <v>0.5</v>
      </c>
      <c r="I7" s="10">
        <f t="shared" si="2"/>
        <v>2.083333333333337E-2</v>
      </c>
      <c r="J7" s="9" t="s">
        <v>10</v>
      </c>
      <c r="K7" s="8">
        <v>0.54166666666666663</v>
      </c>
      <c r="L7" s="10">
        <f t="shared" si="3"/>
        <v>6.25E-2</v>
      </c>
      <c r="M7" s="9" t="s">
        <v>433</v>
      </c>
      <c r="N7" s="8">
        <v>0.54166666666666663</v>
      </c>
      <c r="O7" s="10">
        <f t="shared" si="4"/>
        <v>0.33333333333333337</v>
      </c>
      <c r="P7" s="9" t="s">
        <v>417</v>
      </c>
      <c r="Q7" s="8"/>
      <c r="R7" s="10" t="str">
        <f t="shared" si="5"/>
        <v/>
      </c>
      <c r="S7" s="9"/>
      <c r="T7" s="8"/>
      <c r="U7" s="10" t="str">
        <f t="shared" si="6"/>
        <v/>
      </c>
      <c r="V7" s="9"/>
      <c r="Z7" s="24"/>
    </row>
    <row r="8" spans="1:48">
      <c r="A8" s="12"/>
      <c r="B8" s="8"/>
      <c r="C8" s="10" t="str">
        <f t="shared" si="0"/>
        <v/>
      </c>
      <c r="D8" s="9"/>
      <c r="E8" s="8">
        <v>0.66666666666666663</v>
      </c>
      <c r="F8" s="10">
        <f t="shared" si="1"/>
        <v>9.375E-2</v>
      </c>
      <c r="G8" s="9" t="s">
        <v>410</v>
      </c>
      <c r="H8" s="8">
        <v>0.52083333333333337</v>
      </c>
      <c r="I8" s="10">
        <f t="shared" si="2"/>
        <v>2.0833333333333259E-2</v>
      </c>
      <c r="J8" s="9" t="s">
        <v>3</v>
      </c>
      <c r="K8" s="8">
        <v>0.60416666666666663</v>
      </c>
      <c r="L8" s="10">
        <f t="shared" si="3"/>
        <v>0.22916666666666674</v>
      </c>
      <c r="M8" s="9" t="s">
        <v>3</v>
      </c>
      <c r="N8" s="8">
        <v>0.875</v>
      </c>
      <c r="O8" s="10" t="str">
        <f t="shared" si="4"/>
        <v/>
      </c>
      <c r="P8" s="9"/>
      <c r="Q8" s="8"/>
      <c r="R8" s="10" t="str">
        <f t="shared" si="5"/>
        <v/>
      </c>
      <c r="S8" s="9"/>
      <c r="T8" s="8"/>
      <c r="U8" s="10" t="str">
        <f t="shared" si="6"/>
        <v/>
      </c>
      <c r="V8" s="9"/>
      <c r="Z8" s="24"/>
    </row>
    <row r="9" spans="1:48">
      <c r="A9" s="12"/>
      <c r="B9" s="8"/>
      <c r="C9" s="10" t="str">
        <f t="shared" si="0"/>
        <v/>
      </c>
      <c r="D9" s="9"/>
      <c r="E9" s="8">
        <v>0.76041666666666663</v>
      </c>
      <c r="F9" s="10" t="str">
        <f t="shared" si="1"/>
        <v/>
      </c>
      <c r="G9" s="9"/>
      <c r="H9" s="8">
        <v>0.54166666666666663</v>
      </c>
      <c r="I9" s="10">
        <f t="shared" si="2"/>
        <v>6.25E-2</v>
      </c>
      <c r="J9" s="9" t="s">
        <v>444</v>
      </c>
      <c r="K9" s="8">
        <v>0.83333333333333337</v>
      </c>
      <c r="L9" s="10">
        <f t="shared" si="3"/>
        <v>2.0833333333333259E-2</v>
      </c>
      <c r="M9" s="9" t="s">
        <v>421</v>
      </c>
      <c r="N9" s="8"/>
      <c r="O9" s="10" t="str">
        <f t="shared" si="4"/>
        <v/>
      </c>
      <c r="P9" s="9"/>
      <c r="Q9" s="8"/>
      <c r="R9" s="10" t="str">
        <f t="shared" si="5"/>
        <v/>
      </c>
      <c r="S9" s="9"/>
      <c r="T9" s="8"/>
      <c r="U9" s="10" t="str">
        <f t="shared" si="6"/>
        <v/>
      </c>
      <c r="V9" s="9"/>
      <c r="Z9" s="24"/>
    </row>
    <row r="10" spans="1:48">
      <c r="A10" s="12"/>
      <c r="B10" s="8"/>
      <c r="C10" s="10" t="str">
        <f t="shared" si="0"/>
        <v/>
      </c>
      <c r="D10" s="9"/>
      <c r="E10" s="8"/>
      <c r="F10" s="10" t="str">
        <f t="shared" si="1"/>
        <v/>
      </c>
      <c r="G10" s="9"/>
      <c r="H10" s="8">
        <v>0.60416666666666663</v>
      </c>
      <c r="I10" s="10">
        <f t="shared" si="2"/>
        <v>6.25E-2</v>
      </c>
      <c r="J10" s="9" t="s">
        <v>444</v>
      </c>
      <c r="K10" s="8">
        <v>0.85416666666666663</v>
      </c>
      <c r="L10" s="10">
        <f t="shared" si="3"/>
        <v>6.25E-2</v>
      </c>
      <c r="M10" s="9" t="s">
        <v>438</v>
      </c>
      <c r="N10" s="8"/>
      <c r="O10" s="10" t="str">
        <f t="shared" si="4"/>
        <v/>
      </c>
      <c r="P10" s="9"/>
      <c r="Q10" s="8"/>
      <c r="R10" s="10" t="str">
        <f t="shared" si="5"/>
        <v/>
      </c>
      <c r="S10" s="9"/>
      <c r="T10" s="8"/>
      <c r="U10" s="10" t="str">
        <f t="shared" si="6"/>
        <v/>
      </c>
      <c r="V10" s="9"/>
      <c r="Z10" s="24"/>
    </row>
    <row r="11" spans="1:48">
      <c r="A11" s="12"/>
      <c r="B11" s="8"/>
      <c r="C11" s="10" t="str">
        <f t="shared" si="0"/>
        <v/>
      </c>
      <c r="D11" s="9"/>
      <c r="E11" s="8"/>
      <c r="F11" s="10" t="str">
        <f t="shared" si="1"/>
        <v/>
      </c>
      <c r="G11" s="9"/>
      <c r="H11" s="8">
        <v>0.66666666666666663</v>
      </c>
      <c r="I11" s="10">
        <f t="shared" si="2"/>
        <v>0.10416666666666674</v>
      </c>
      <c r="J11" s="9" t="s">
        <v>3</v>
      </c>
      <c r="K11" s="8">
        <v>0.91666666666666663</v>
      </c>
      <c r="L11" s="10" t="str">
        <f t="shared" si="3"/>
        <v/>
      </c>
      <c r="M11" s="9"/>
      <c r="N11" s="8"/>
      <c r="O11" s="10" t="str">
        <f t="shared" si="4"/>
        <v/>
      </c>
      <c r="P11" s="9"/>
      <c r="Q11" s="8"/>
      <c r="R11" s="10" t="str">
        <f t="shared" si="5"/>
        <v/>
      </c>
      <c r="S11" s="9"/>
      <c r="T11" s="8"/>
      <c r="U11" s="10" t="str">
        <f t="shared" si="6"/>
        <v/>
      </c>
      <c r="V11" s="9"/>
      <c r="Z11" s="24"/>
    </row>
    <row r="12" spans="1:48">
      <c r="A12" s="12"/>
      <c r="B12" s="8"/>
      <c r="C12" s="10" t="str">
        <f t="shared" si="0"/>
        <v/>
      </c>
      <c r="D12" s="9"/>
      <c r="E12" s="8"/>
      <c r="F12" s="10" t="str">
        <f t="shared" si="1"/>
        <v/>
      </c>
      <c r="G12" s="9"/>
      <c r="H12" s="8">
        <v>0.77083333333333337</v>
      </c>
      <c r="I12" s="10">
        <f t="shared" si="2"/>
        <v>0.10416666666666663</v>
      </c>
      <c r="J12" s="9" t="s">
        <v>442</v>
      </c>
      <c r="K12" s="8"/>
      <c r="L12" s="10" t="str">
        <f t="shared" si="3"/>
        <v/>
      </c>
      <c r="M12" s="9"/>
      <c r="N12" s="8"/>
      <c r="O12" s="10" t="str">
        <f t="shared" si="4"/>
        <v/>
      </c>
      <c r="P12" s="9"/>
      <c r="Q12" s="8"/>
      <c r="R12" s="10" t="str">
        <f t="shared" si="5"/>
        <v/>
      </c>
      <c r="S12" s="9"/>
      <c r="T12" s="8"/>
      <c r="U12" s="10" t="str">
        <f t="shared" si="6"/>
        <v/>
      </c>
      <c r="V12" s="9"/>
      <c r="Z12" s="24"/>
    </row>
    <row r="13" spans="1:48">
      <c r="A13" s="12"/>
      <c r="B13" s="8"/>
      <c r="C13" s="10" t="str">
        <f t="shared" si="0"/>
        <v/>
      </c>
      <c r="D13" s="9"/>
      <c r="E13" s="8"/>
      <c r="F13" s="10" t="str">
        <f t="shared" si="1"/>
        <v/>
      </c>
      <c r="G13" s="9"/>
      <c r="H13" s="8">
        <v>0.875</v>
      </c>
      <c r="I13" s="10" t="str">
        <f t="shared" si="2"/>
        <v/>
      </c>
      <c r="J13" s="9"/>
      <c r="K13" s="8"/>
      <c r="L13" s="10" t="str">
        <f t="shared" si="3"/>
        <v/>
      </c>
      <c r="M13" s="9"/>
      <c r="N13" s="8"/>
      <c r="O13" s="10" t="str">
        <f t="shared" si="4"/>
        <v/>
      </c>
      <c r="P13" s="9"/>
      <c r="Q13" s="8"/>
      <c r="R13" s="10" t="str">
        <f t="shared" si="5"/>
        <v/>
      </c>
      <c r="S13" s="9"/>
      <c r="T13" s="8"/>
      <c r="U13" s="10" t="str">
        <f t="shared" si="6"/>
        <v/>
      </c>
      <c r="V13" s="9"/>
      <c r="Z13" s="24"/>
    </row>
    <row r="14" spans="1:48">
      <c r="A14" s="12"/>
      <c r="B14" s="8"/>
      <c r="C14" s="10" t="str">
        <f t="shared" si="0"/>
        <v/>
      </c>
      <c r="D14" s="9"/>
      <c r="E14" s="8"/>
      <c r="F14" s="10" t="str">
        <f t="shared" si="1"/>
        <v/>
      </c>
      <c r="G14" s="9"/>
      <c r="H14" s="8"/>
      <c r="I14" s="10" t="str">
        <f t="shared" si="2"/>
        <v/>
      </c>
      <c r="J14" s="9"/>
      <c r="K14" s="8"/>
      <c r="L14" s="10" t="str">
        <f t="shared" si="3"/>
        <v/>
      </c>
      <c r="M14" s="9"/>
      <c r="N14" s="8"/>
      <c r="O14" s="10" t="str">
        <f t="shared" si="4"/>
        <v/>
      </c>
      <c r="P14" s="9"/>
      <c r="Q14" s="8"/>
      <c r="R14" s="10" t="str">
        <f t="shared" si="5"/>
        <v/>
      </c>
      <c r="S14" s="9"/>
      <c r="T14" s="8"/>
      <c r="U14" s="10" t="str">
        <f t="shared" si="6"/>
        <v/>
      </c>
      <c r="V14" s="9"/>
      <c r="Z14" s="24"/>
    </row>
    <row r="15" spans="1:48">
      <c r="A15" s="12"/>
      <c r="B15" s="8"/>
      <c r="C15" s="10" t="str">
        <f t="shared" si="0"/>
        <v/>
      </c>
      <c r="D15" s="9"/>
      <c r="E15" s="8"/>
      <c r="F15" s="10" t="str">
        <f t="shared" si="1"/>
        <v/>
      </c>
      <c r="G15" s="9"/>
      <c r="H15" s="8"/>
      <c r="I15" s="10" t="str">
        <f t="shared" si="2"/>
        <v/>
      </c>
      <c r="J15" s="9"/>
      <c r="K15" s="8"/>
      <c r="L15" s="10" t="str">
        <f t="shared" si="3"/>
        <v/>
      </c>
      <c r="M15" s="9"/>
      <c r="N15" s="8"/>
      <c r="O15" s="10" t="str">
        <f t="shared" si="4"/>
        <v/>
      </c>
      <c r="P15" s="9"/>
      <c r="Q15" s="8"/>
      <c r="R15" s="10" t="str">
        <f t="shared" si="5"/>
        <v/>
      </c>
      <c r="S15" s="9"/>
      <c r="T15" s="8"/>
      <c r="U15" s="10" t="str">
        <f t="shared" si="6"/>
        <v/>
      </c>
      <c r="V15" s="9"/>
      <c r="Z15" s="24"/>
    </row>
    <row r="16" spans="1:48">
      <c r="A16" s="12"/>
      <c r="B16" s="8"/>
      <c r="C16" s="10" t="str">
        <f t="shared" si="0"/>
        <v/>
      </c>
      <c r="D16" s="9"/>
      <c r="E16" s="8"/>
      <c r="F16" s="10" t="str">
        <f t="shared" si="1"/>
        <v/>
      </c>
      <c r="G16" s="9"/>
      <c r="H16" s="8"/>
      <c r="I16" s="10" t="str">
        <f t="shared" si="2"/>
        <v/>
      </c>
      <c r="J16" s="9"/>
      <c r="K16" s="8"/>
      <c r="L16" s="10" t="str">
        <f t="shared" si="3"/>
        <v/>
      </c>
      <c r="M16" s="9"/>
      <c r="N16" s="8"/>
      <c r="O16" s="10" t="str">
        <f t="shared" si="4"/>
        <v/>
      </c>
      <c r="P16" s="9"/>
      <c r="Q16" s="8"/>
      <c r="R16" s="10" t="str">
        <f t="shared" si="5"/>
        <v/>
      </c>
      <c r="S16" s="9"/>
      <c r="T16" s="8"/>
      <c r="U16" s="10" t="str">
        <f t="shared" si="6"/>
        <v/>
      </c>
      <c r="V16" s="9"/>
      <c r="Z16" s="24"/>
    </row>
    <row r="17" spans="1:48">
      <c r="A17" s="12"/>
      <c r="B17" s="8"/>
      <c r="C17" s="10" t="str">
        <f t="shared" si="0"/>
        <v/>
      </c>
      <c r="D17" s="9"/>
      <c r="E17" s="8"/>
      <c r="F17" s="10" t="str">
        <f t="shared" si="1"/>
        <v/>
      </c>
      <c r="G17" s="9"/>
      <c r="H17" s="8"/>
      <c r="I17" s="10" t="str">
        <f t="shared" si="2"/>
        <v/>
      </c>
      <c r="J17" s="9"/>
      <c r="K17" s="8"/>
      <c r="L17" s="10" t="str">
        <f t="shared" si="3"/>
        <v/>
      </c>
      <c r="M17" s="9"/>
      <c r="N17" s="8"/>
      <c r="O17" s="10" t="str">
        <f t="shared" si="4"/>
        <v/>
      </c>
      <c r="P17" s="9"/>
      <c r="Q17" s="8"/>
      <c r="R17" s="10" t="str">
        <f t="shared" si="5"/>
        <v/>
      </c>
      <c r="S17" s="9"/>
      <c r="T17" s="8"/>
      <c r="U17" s="10" t="str">
        <f t="shared" si="6"/>
        <v/>
      </c>
      <c r="V17" s="9"/>
      <c r="Z17" s="24"/>
    </row>
    <row r="18" spans="1:48">
      <c r="A18" s="12"/>
      <c r="B18" s="8"/>
      <c r="C18" s="10" t="str">
        <f t="shared" si="0"/>
        <v/>
      </c>
      <c r="D18" s="9"/>
      <c r="E18" s="8"/>
      <c r="F18" s="10" t="str">
        <f t="shared" si="1"/>
        <v/>
      </c>
      <c r="G18" s="9"/>
      <c r="H18" s="8"/>
      <c r="I18" s="10" t="str">
        <f t="shared" si="2"/>
        <v/>
      </c>
      <c r="J18" s="9"/>
      <c r="K18" s="8"/>
      <c r="L18" s="10" t="str">
        <f t="shared" si="3"/>
        <v/>
      </c>
      <c r="M18" s="9"/>
      <c r="N18" s="8"/>
      <c r="O18" s="10" t="str">
        <f t="shared" si="4"/>
        <v/>
      </c>
      <c r="P18" s="9"/>
      <c r="Q18" s="8"/>
      <c r="R18" s="10" t="str">
        <f t="shared" si="5"/>
        <v/>
      </c>
      <c r="S18" s="9"/>
      <c r="T18" s="8"/>
      <c r="U18" s="10" t="str">
        <f t="shared" si="6"/>
        <v/>
      </c>
      <c r="V18" s="9"/>
      <c r="Z18" s="24"/>
    </row>
    <row r="19" spans="1:48">
      <c r="A19" s="12"/>
      <c r="B19" s="8"/>
      <c r="C19" s="10" t="str">
        <f t="shared" si="0"/>
        <v/>
      </c>
      <c r="D19" s="9"/>
      <c r="E19" s="8"/>
      <c r="F19" s="10" t="str">
        <f t="shared" si="1"/>
        <v/>
      </c>
      <c r="G19" s="9"/>
      <c r="H19" s="8"/>
      <c r="I19" s="10" t="str">
        <f t="shared" si="2"/>
        <v/>
      </c>
      <c r="J19" s="9"/>
      <c r="K19" s="8"/>
      <c r="L19" s="10" t="str">
        <f t="shared" si="3"/>
        <v/>
      </c>
      <c r="M19" s="9"/>
      <c r="N19" s="8"/>
      <c r="O19" s="10" t="str">
        <f t="shared" si="4"/>
        <v/>
      </c>
      <c r="P19" s="9"/>
      <c r="Q19" s="8"/>
      <c r="R19" s="10" t="str">
        <f t="shared" si="5"/>
        <v/>
      </c>
      <c r="S19" s="9"/>
      <c r="T19" s="8"/>
      <c r="U19" s="10" t="str">
        <f t="shared" si="6"/>
        <v/>
      </c>
      <c r="V19" s="9"/>
      <c r="Z19" s="24"/>
    </row>
    <row r="20" spans="1:48">
      <c r="A20" s="12"/>
      <c r="B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W20" t="s">
        <v>25</v>
      </c>
      <c r="Z20" s="24"/>
    </row>
    <row r="21" spans="1:48">
      <c r="A21" s="7" t="s">
        <v>5</v>
      </c>
      <c r="B21" s="19"/>
      <c r="C21" s="13">
        <v>0</v>
      </c>
      <c r="D21" s="13"/>
      <c r="E21" s="13"/>
      <c r="F21" s="13">
        <v>10</v>
      </c>
      <c r="G21" s="13"/>
      <c r="H21" s="13"/>
      <c r="I21" s="13">
        <v>8</v>
      </c>
      <c r="J21" s="13"/>
      <c r="K21" s="13"/>
      <c r="L21" s="13">
        <v>8</v>
      </c>
      <c r="M21" s="13"/>
      <c r="N21" s="13"/>
      <c r="O21" s="13">
        <v>8</v>
      </c>
      <c r="P21" s="13"/>
      <c r="Q21" s="13"/>
      <c r="R21" s="13">
        <v>2</v>
      </c>
      <c r="S21" s="13"/>
      <c r="T21" s="13"/>
      <c r="U21" s="13">
        <f>IF(AND((COUNTIF(V4:V19,"Krank")=0),COUNTIF(V4:V19,"Feiertag")=0),5,0)</f>
        <v>5</v>
      </c>
      <c r="V21" s="19"/>
      <c r="W21" s="13">
        <f>SUM(C21:V21)</f>
        <v>41</v>
      </c>
      <c r="Z21" s="24"/>
    </row>
    <row r="22" spans="1:48" s="2" customFormat="1">
      <c r="A22" s="7" t="s">
        <v>26</v>
      </c>
      <c r="B22" s="13"/>
      <c r="C22" s="13" cm="1">
        <f t="array" ref="C22">SG_SUMHOURS(C4:C19,D4:D19)</f>
        <v>0</v>
      </c>
      <c r="D22" s="19"/>
      <c r="E22" s="13"/>
      <c r="F22" s="13" cm="1">
        <f t="array" ref="F22">SG_SUMHOURS(F4:F19,G4:G19)</f>
        <v>8.2499999999999982</v>
      </c>
      <c r="G22" s="13"/>
      <c r="H22" s="13"/>
      <c r="I22" s="13" cm="1">
        <f t="array" ref="I22">SG_SUMHOURS(I4:I19,J4:J19)</f>
        <v>10</v>
      </c>
      <c r="J22" s="13"/>
      <c r="K22" s="13"/>
      <c r="L22" s="13" cm="1">
        <f t="array" ref="L22">SG_SUMHOURS(L4:L19,M4:M19)</f>
        <v>5.9999999999999982</v>
      </c>
      <c r="M22" s="13"/>
      <c r="N22" s="13"/>
      <c r="O22" s="13" cm="1">
        <f t="array" ref="O22">SG_SUMHOURS(O4:O19,P4:P19)</f>
        <v>12</v>
      </c>
      <c r="P22" s="13"/>
      <c r="Q22" s="13"/>
      <c r="R22" s="13" cm="1">
        <f t="array" ref="R22">SG_SUMHOURS(R4:R19,S4:S19)</f>
        <v>3.5000000000000009</v>
      </c>
      <c r="S22" s="13"/>
      <c r="T22" s="13"/>
      <c r="U22" s="13" cm="1">
        <f t="array" ref="U22">SG_SUMHOURS(U4:U19,V4:V19)</f>
        <v>4.5</v>
      </c>
      <c r="V22" s="13"/>
      <c r="W22" s="20">
        <f>SUM(C22:V22)</f>
        <v>44.25</v>
      </c>
      <c r="Z22" s="24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4"/>
      <c r="B23" s="14"/>
      <c r="V23" s="4" t="s">
        <v>389</v>
      </c>
      <c r="W23" s="13">
        <f>W22-W21</f>
        <v>3.25</v>
      </c>
      <c r="Z23" s="24"/>
    </row>
    <row r="24" spans="1:48" s="1" customFormat="1">
      <c r="C24" s="11"/>
      <c r="V24" s="4" t="s">
        <v>386</v>
      </c>
      <c r="W24" s="22">
        <v>1.8</v>
      </c>
      <c r="Y24"/>
      <c r="Z24" s="24"/>
    </row>
    <row r="25" spans="1:48">
      <c r="J25" t="s">
        <v>455</v>
      </c>
      <c r="P25" t="s">
        <v>457</v>
      </c>
      <c r="V25" s="4" t="s">
        <v>387</v>
      </c>
      <c r="W25" s="20">
        <f>SUM(W23:W24)</f>
        <v>5.05</v>
      </c>
      <c r="Z25" s="24"/>
    </row>
    <row r="26" spans="1:48">
      <c r="J26" s="23" t="s">
        <v>456</v>
      </c>
      <c r="Z26" s="24"/>
    </row>
    <row r="27" spans="1:48">
      <c r="Z27" s="24"/>
    </row>
    <row r="28" spans="1:48">
      <c r="Z28" s="24"/>
    </row>
  </sheetData>
  <dataValidations count="1">
    <dataValidation type="list" allowBlank="1" showInputMessage="1" showErrorMessage="1" sqref="V4:V19 G4:G19 J4:J19 M4:M19 P4:P19 S4:S19 D4:D19" xr:uid="{5AA42B32-8FCF-4867-9775-8FB34F70BD16}">
      <formula1>Tätigkeiten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75DA6-A177-48A7-B298-48500C7C9418}">
  <sheetPr codeName="Sheet13"/>
  <dimension ref="A1:AV28"/>
  <sheetViews>
    <sheetView zoomScale="115" zoomScaleNormal="115" workbookViewId="0">
      <selection activeCell="P24" sqref="P24"/>
    </sheetView>
  </sheetViews>
  <sheetFormatPr defaultColWidth="10.90625" defaultRowHeight="14.5"/>
  <cols>
    <col min="1" max="1" width="6.36328125" bestFit="1" customWidth="1"/>
    <col min="2" max="2" width="6.1796875" bestFit="1" customWidth="1"/>
    <col min="3" max="3" width="6.08984375" style="2" bestFit="1" customWidth="1"/>
    <col min="4" max="4" width="7.36328125" customWidth="1"/>
    <col min="5" max="5" width="6.1796875" bestFit="1" customWidth="1"/>
    <col min="6" max="6" width="6.08984375" bestFit="1" customWidth="1"/>
    <col min="7" max="7" width="31.08984375" bestFit="1" customWidth="1"/>
    <col min="8" max="8" width="6.1796875" bestFit="1" customWidth="1"/>
    <col min="9" max="9" width="6.08984375" bestFit="1" customWidth="1"/>
    <col min="10" max="10" width="31.08984375" bestFit="1" customWidth="1"/>
    <col min="11" max="11" width="8" bestFit="1" customWidth="1"/>
    <col min="12" max="12" width="6.08984375" bestFit="1" customWidth="1"/>
    <col min="13" max="13" width="11.81640625" customWidth="1"/>
    <col min="14" max="14" width="6.1796875" bestFit="1" customWidth="1"/>
    <col min="15" max="15" width="6.08984375" bestFit="1" customWidth="1"/>
    <col min="16" max="16" width="17.6328125" bestFit="1" customWidth="1"/>
    <col min="17" max="17" width="6.1796875" bestFit="1" customWidth="1"/>
    <col min="18" max="18" width="6.08984375" bestFit="1" customWidth="1"/>
    <col min="19" max="19" width="17.6328125" bestFit="1" customWidth="1"/>
    <col min="20" max="20" width="6.1796875" bestFit="1" customWidth="1"/>
    <col min="21" max="21" width="6.08984375" bestFit="1" customWidth="1"/>
    <col min="22" max="22" width="12.6328125" bestFit="1" customWidth="1"/>
    <col min="23" max="23" width="7.1796875" bestFit="1" customWidth="1"/>
    <col min="25" max="25" width="39.36328125" bestFit="1" customWidth="1"/>
  </cols>
  <sheetData>
    <row r="1" spans="1:48" s="1" customFormat="1">
      <c r="A1" s="4" t="s">
        <v>27</v>
      </c>
      <c r="B1" s="4" t="s">
        <v>11</v>
      </c>
      <c r="C1" s="5"/>
      <c r="D1" s="4"/>
      <c r="E1" s="4" t="s">
        <v>13</v>
      </c>
      <c r="F1" s="4"/>
      <c r="G1" s="4"/>
      <c r="H1" s="4" t="s">
        <v>15</v>
      </c>
      <c r="I1" s="4"/>
      <c r="J1" s="4"/>
      <c r="K1" s="4" t="s">
        <v>17</v>
      </c>
      <c r="L1" s="4"/>
      <c r="M1" s="4"/>
      <c r="N1" s="4" t="s">
        <v>19</v>
      </c>
      <c r="O1" s="4"/>
      <c r="P1" s="4"/>
      <c r="Q1" s="4" t="s">
        <v>21</v>
      </c>
      <c r="R1" s="4"/>
      <c r="S1" s="4"/>
      <c r="T1" s="4" t="s">
        <v>23</v>
      </c>
      <c r="U1" s="4"/>
      <c r="V1" s="4"/>
    </row>
    <row r="2" spans="1:48" s="3" customFormat="1">
      <c r="A2" s="21">
        <v>10</v>
      </c>
      <c r="B2" s="6" t="str" cm="1">
        <f t="array" ref="B2">INDEX(KalenderWochen,$A$2,2)</f>
        <v>04.03.</v>
      </c>
      <c r="C2" s="5"/>
      <c r="D2" s="6"/>
      <c r="E2" s="6" t="str" cm="1">
        <f t="array" ref="E2">INDEX(KalenderWochen,$A$2,3)</f>
        <v>05.03.</v>
      </c>
      <c r="F2" s="6"/>
      <c r="G2" s="6"/>
      <c r="H2" s="6" t="str" cm="1">
        <f t="array" ref="H2">INDEX(KalenderWochen,$A$2,4)</f>
        <v>06.03.</v>
      </c>
      <c r="I2" s="6"/>
      <c r="J2" s="6"/>
      <c r="K2" s="6" t="str" cm="1">
        <f t="array" ref="K2">INDEX(KalenderWochen,$A$2,5)</f>
        <v>07.03.</v>
      </c>
      <c r="L2" s="6"/>
      <c r="M2" s="6"/>
      <c r="N2" s="6" t="str" cm="1">
        <f t="array" ref="N2">INDEX(KalenderWochen,$A$2,6)</f>
        <v>08.03.</v>
      </c>
      <c r="O2" s="6"/>
      <c r="P2" s="6"/>
      <c r="Q2" s="6" t="str" cm="1">
        <f t="array" ref="Q2">INDEX(KalenderWochen,$A$2,7)</f>
        <v>09.03.</v>
      </c>
      <c r="R2" s="6"/>
      <c r="S2" s="6"/>
      <c r="T2" s="6" t="str" cm="1">
        <f t="array" ref="T2">INDEX(KalenderWochen,$A$2,8)</f>
        <v>10.03.</v>
      </c>
      <c r="U2" s="6"/>
      <c r="V2" s="6"/>
      <c r="Y2"/>
      <c r="Z2" s="2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1" customFormat="1">
      <c r="A3" s="4"/>
      <c r="B3" s="4" t="s">
        <v>0</v>
      </c>
      <c r="C3" s="7" t="s">
        <v>1</v>
      </c>
      <c r="D3" s="4" t="s">
        <v>2</v>
      </c>
      <c r="E3" s="4" t="s">
        <v>0</v>
      </c>
      <c r="F3" s="4" t="s">
        <v>1</v>
      </c>
      <c r="G3" s="4" t="s">
        <v>2</v>
      </c>
      <c r="H3" s="4" t="s">
        <v>0</v>
      </c>
      <c r="I3" s="4" t="s">
        <v>1</v>
      </c>
      <c r="J3" s="4" t="s">
        <v>2</v>
      </c>
      <c r="K3" s="4" t="s">
        <v>0</v>
      </c>
      <c r="L3" s="4" t="s">
        <v>1</v>
      </c>
      <c r="M3" s="4" t="s">
        <v>2</v>
      </c>
      <c r="N3" s="4" t="s">
        <v>0</v>
      </c>
      <c r="O3" s="4" t="s">
        <v>1</v>
      </c>
      <c r="P3" s="4" t="s">
        <v>2</v>
      </c>
      <c r="Q3" s="4" t="s">
        <v>0</v>
      </c>
      <c r="R3" s="4" t="s">
        <v>1</v>
      </c>
      <c r="S3" s="4" t="s">
        <v>2</v>
      </c>
      <c r="T3" s="4" t="s">
        <v>0</v>
      </c>
      <c r="U3" s="4" t="s">
        <v>1</v>
      </c>
      <c r="V3" s="4" t="s">
        <v>2</v>
      </c>
      <c r="Y3"/>
    </row>
    <row r="4" spans="1:48">
      <c r="A4" s="12"/>
      <c r="B4" s="8"/>
      <c r="C4" s="10" t="str">
        <f>IF(ISBLANK(B5),"",(B5-B4))</f>
        <v/>
      </c>
      <c r="D4" s="9"/>
      <c r="E4" s="8">
        <v>0.32291666666666669</v>
      </c>
      <c r="F4" s="10">
        <f>IF(ISBLANK(E5),"",(E5-E4))</f>
        <v>1.041666666666663E-2</v>
      </c>
      <c r="G4" s="9" t="s">
        <v>10</v>
      </c>
      <c r="H4" s="8">
        <v>0.33333333333333331</v>
      </c>
      <c r="I4" s="10">
        <f>IF(ISBLANK(H5),"",(H5-H4))</f>
        <v>3.125E-2</v>
      </c>
      <c r="J4" s="9" t="s">
        <v>417</v>
      </c>
      <c r="K4" s="8">
        <v>0.30208333333333331</v>
      </c>
      <c r="L4" s="10">
        <f>IF(ISBLANK(K5),"",(K5-K4))</f>
        <v>1.0416666666666685E-2</v>
      </c>
      <c r="M4" s="9" t="s">
        <v>10</v>
      </c>
      <c r="N4" s="8">
        <v>0.375</v>
      </c>
      <c r="O4" s="10">
        <f>IF(ISBLANK(N5),"",(N5-N4))</f>
        <v>4.1666666666666685E-2</v>
      </c>
      <c r="P4" s="9" t="s">
        <v>433</v>
      </c>
      <c r="Q4" s="8"/>
      <c r="R4" s="10" t="str">
        <f>IF(ISBLANK(Q5),"",(Q5-Q4))</f>
        <v/>
      </c>
      <c r="S4" s="9"/>
      <c r="T4" s="8"/>
      <c r="U4" s="10" t="str">
        <f>IF(ISBLANK(T5),"",(T5-T4))</f>
        <v/>
      </c>
      <c r="V4" s="9"/>
      <c r="Z4" s="24"/>
    </row>
    <row r="5" spans="1:48">
      <c r="A5" s="12"/>
      <c r="B5" s="8"/>
      <c r="C5" s="10" t="str">
        <f t="shared" ref="C5:C19" si="0">IF(ISBLANK(B6),"",(B6-B5))</f>
        <v/>
      </c>
      <c r="D5" s="9"/>
      <c r="E5" s="8">
        <v>0.33333333333333331</v>
      </c>
      <c r="F5" s="10">
        <f t="shared" ref="F5:F19" si="1">IF(ISBLANK(E6),"",(E6-E5))</f>
        <v>8.333333333333337E-2</v>
      </c>
      <c r="G5" s="9" t="s">
        <v>425</v>
      </c>
      <c r="H5" s="8">
        <v>0.36458333333333331</v>
      </c>
      <c r="I5" s="10">
        <f t="shared" ref="I5:I19" si="2">IF(ISBLANK(H6),"",(H6-H5))</f>
        <v>0.13541666666666669</v>
      </c>
      <c r="J5" s="9" t="s">
        <v>433</v>
      </c>
      <c r="K5" s="8">
        <v>0.3125</v>
      </c>
      <c r="L5" s="10">
        <f t="shared" ref="L5:L19" si="3">IF(ISBLANK(K6),"",(K6-K5))</f>
        <v>6.25E-2</v>
      </c>
      <c r="M5" s="9" t="s">
        <v>426</v>
      </c>
      <c r="N5" s="8">
        <v>0.41666666666666669</v>
      </c>
      <c r="O5" s="10">
        <f t="shared" ref="O5:O19" si="4">IF(ISBLANK(N6),"",(N6-N5))</f>
        <v>9.3749999999999944E-2</v>
      </c>
      <c r="P5" s="9" t="s">
        <v>440</v>
      </c>
      <c r="Q5" s="8"/>
      <c r="R5" s="10" t="str">
        <f t="shared" ref="R5:R19" si="5">IF(ISBLANK(Q6),"",(Q6-Q5))</f>
        <v/>
      </c>
      <c r="S5" s="9"/>
      <c r="T5" s="8"/>
      <c r="U5" s="10" t="str">
        <f t="shared" ref="U5:U19" si="6">IF(ISBLANK(T6),"",(T6-T5))</f>
        <v/>
      </c>
      <c r="V5" s="9"/>
      <c r="Z5" s="24"/>
    </row>
    <row r="6" spans="1:48">
      <c r="A6" s="12"/>
      <c r="B6" s="8"/>
      <c r="C6" s="10" t="str">
        <f t="shared" si="0"/>
        <v/>
      </c>
      <c r="D6" s="9"/>
      <c r="E6" s="8">
        <v>0.41666666666666669</v>
      </c>
      <c r="F6" s="10">
        <f t="shared" si="1"/>
        <v>0.10416666666666669</v>
      </c>
      <c r="G6" s="9" t="s">
        <v>9</v>
      </c>
      <c r="H6" s="8">
        <v>0.5</v>
      </c>
      <c r="I6" s="10">
        <f t="shared" si="2"/>
        <v>4.166666666666663E-2</v>
      </c>
      <c r="J6" s="9" t="s">
        <v>420</v>
      </c>
      <c r="K6" s="8">
        <v>0.375</v>
      </c>
      <c r="L6" s="10">
        <f t="shared" si="3"/>
        <v>6.25E-2</v>
      </c>
      <c r="M6" s="9" t="s">
        <v>420</v>
      </c>
      <c r="N6" s="8">
        <v>0.51041666666666663</v>
      </c>
      <c r="O6" s="10">
        <f t="shared" si="4"/>
        <v>1.0416666666666741E-2</v>
      </c>
      <c r="P6" s="9" t="s">
        <v>10</v>
      </c>
      <c r="Q6" s="8"/>
      <c r="R6" s="10" t="str">
        <f t="shared" si="5"/>
        <v/>
      </c>
      <c r="S6" s="9"/>
      <c r="T6" s="8"/>
      <c r="U6" s="10" t="str">
        <f t="shared" si="6"/>
        <v/>
      </c>
      <c r="V6" s="9"/>
      <c r="Z6" s="24"/>
    </row>
    <row r="7" spans="1:48">
      <c r="A7" s="12"/>
      <c r="B7" s="8"/>
      <c r="C7" s="10" t="str">
        <f t="shared" si="0"/>
        <v/>
      </c>
      <c r="D7" s="9"/>
      <c r="E7" s="8">
        <v>0.52083333333333337</v>
      </c>
      <c r="F7" s="10">
        <f t="shared" si="1"/>
        <v>6.25E-2</v>
      </c>
      <c r="G7" s="9" t="s">
        <v>3</v>
      </c>
      <c r="H7" s="8">
        <v>0.54166666666666663</v>
      </c>
      <c r="I7" s="10">
        <f t="shared" si="2"/>
        <v>0.125</v>
      </c>
      <c r="J7" s="9" t="s">
        <v>444</v>
      </c>
      <c r="K7" s="8">
        <v>0.4375</v>
      </c>
      <c r="L7" s="10">
        <f t="shared" si="3"/>
        <v>6.25E-2</v>
      </c>
      <c r="M7" s="9" t="s">
        <v>3</v>
      </c>
      <c r="N7" s="8">
        <v>0.52083333333333337</v>
      </c>
      <c r="O7" s="10">
        <f t="shared" si="4"/>
        <v>4.166666666666663E-2</v>
      </c>
      <c r="P7" s="9"/>
      <c r="Q7" s="8"/>
      <c r="R7" s="10" t="str">
        <f t="shared" si="5"/>
        <v/>
      </c>
      <c r="S7" s="9"/>
      <c r="T7" s="8"/>
      <c r="U7" s="10" t="str">
        <f t="shared" si="6"/>
        <v/>
      </c>
      <c r="V7" s="9"/>
      <c r="Z7" s="24"/>
    </row>
    <row r="8" spans="1:48">
      <c r="A8" s="12"/>
      <c r="B8" s="8"/>
      <c r="C8" s="10" t="str">
        <f t="shared" si="0"/>
        <v/>
      </c>
      <c r="D8" s="9"/>
      <c r="E8" s="8">
        <v>0.58333333333333337</v>
      </c>
      <c r="F8" s="10">
        <f t="shared" si="1"/>
        <v>4.166666666666663E-2</v>
      </c>
      <c r="G8" s="9" t="s">
        <v>433</v>
      </c>
      <c r="H8" s="8">
        <v>0.66666666666666663</v>
      </c>
      <c r="I8" s="10">
        <f t="shared" si="2"/>
        <v>0.10416666666666674</v>
      </c>
      <c r="J8" s="9" t="s">
        <v>3</v>
      </c>
      <c r="K8" s="8">
        <v>0.5</v>
      </c>
      <c r="L8" s="10">
        <f t="shared" si="3"/>
        <v>0.125</v>
      </c>
      <c r="M8" s="9" t="s">
        <v>433</v>
      </c>
      <c r="N8" s="8">
        <v>0.5625</v>
      </c>
      <c r="O8" s="10">
        <f t="shared" si="4"/>
        <v>6.25E-2</v>
      </c>
      <c r="P8" s="9" t="s">
        <v>433</v>
      </c>
      <c r="Q8" s="8"/>
      <c r="R8" s="10" t="str">
        <f t="shared" si="5"/>
        <v/>
      </c>
      <c r="S8" s="9"/>
      <c r="T8" s="8"/>
      <c r="U8" s="10" t="str">
        <f t="shared" si="6"/>
        <v/>
      </c>
      <c r="V8" s="9"/>
      <c r="Z8" s="24"/>
    </row>
    <row r="9" spans="1:48">
      <c r="A9" s="12"/>
      <c r="B9" s="8"/>
      <c r="C9" s="10" t="str">
        <f t="shared" si="0"/>
        <v/>
      </c>
      <c r="D9" s="9"/>
      <c r="E9" s="8">
        <v>0.625</v>
      </c>
      <c r="F9" s="10">
        <f t="shared" si="1"/>
        <v>6.25E-2</v>
      </c>
      <c r="G9" s="9" t="s">
        <v>424</v>
      </c>
      <c r="H9" s="8">
        <v>0.77083333333333337</v>
      </c>
      <c r="I9" s="10">
        <f t="shared" si="2"/>
        <v>8.3333333333333259E-2</v>
      </c>
      <c r="J9" s="9" t="s">
        <v>406</v>
      </c>
      <c r="K9" s="8">
        <v>0.625</v>
      </c>
      <c r="L9" s="10">
        <f t="shared" si="3"/>
        <v>0.14583333333333337</v>
      </c>
      <c r="M9" s="9" t="s">
        <v>3</v>
      </c>
      <c r="N9" s="8">
        <v>0.625</v>
      </c>
      <c r="O9" s="10">
        <f t="shared" si="4"/>
        <v>4.166666666666663E-2</v>
      </c>
      <c r="P9" s="9" t="s">
        <v>454</v>
      </c>
      <c r="Q9" s="8"/>
      <c r="R9" s="10" t="str">
        <f t="shared" si="5"/>
        <v/>
      </c>
      <c r="S9" s="9"/>
      <c r="T9" s="8"/>
      <c r="U9" s="10" t="str">
        <f t="shared" si="6"/>
        <v/>
      </c>
      <c r="V9" s="9"/>
      <c r="Z9" s="24"/>
    </row>
    <row r="10" spans="1:48">
      <c r="A10" s="12"/>
      <c r="B10" s="8"/>
      <c r="C10" s="10" t="str">
        <f t="shared" si="0"/>
        <v/>
      </c>
      <c r="D10" s="9"/>
      <c r="E10" s="8">
        <v>0.6875</v>
      </c>
      <c r="F10" s="10">
        <f t="shared" si="1"/>
        <v>6.25E-2</v>
      </c>
      <c r="G10" s="9" t="s">
        <v>410</v>
      </c>
      <c r="H10" s="8">
        <v>0.85416666666666663</v>
      </c>
      <c r="I10" s="10" t="str">
        <f t="shared" si="2"/>
        <v/>
      </c>
      <c r="J10" s="9"/>
      <c r="K10" s="8">
        <v>0.77083333333333337</v>
      </c>
      <c r="L10" s="10">
        <f t="shared" si="3"/>
        <v>2.0833333333333259E-2</v>
      </c>
      <c r="M10" s="9" t="s">
        <v>10</v>
      </c>
      <c r="N10" s="8">
        <v>0.66666666666666663</v>
      </c>
      <c r="O10" s="10" t="str">
        <f t="shared" si="4"/>
        <v/>
      </c>
      <c r="P10" s="9"/>
      <c r="Q10" s="8"/>
      <c r="R10" s="10" t="str">
        <f t="shared" si="5"/>
        <v/>
      </c>
      <c r="S10" s="9"/>
      <c r="T10" s="8"/>
      <c r="U10" s="10" t="str">
        <f t="shared" si="6"/>
        <v/>
      </c>
      <c r="V10" s="9"/>
      <c r="Z10" s="24"/>
    </row>
    <row r="11" spans="1:48">
      <c r="A11" s="12"/>
      <c r="B11" s="8"/>
      <c r="C11" s="10" t="str">
        <f t="shared" si="0"/>
        <v/>
      </c>
      <c r="D11" s="9"/>
      <c r="E11" s="8">
        <v>0.75</v>
      </c>
      <c r="F11" s="10">
        <f t="shared" si="1"/>
        <v>4.166666666666663E-2</v>
      </c>
      <c r="G11" s="9" t="s">
        <v>10</v>
      </c>
      <c r="H11" s="8"/>
      <c r="I11" s="10" t="str">
        <f t="shared" si="2"/>
        <v/>
      </c>
      <c r="J11" s="9"/>
      <c r="K11" s="8">
        <v>0.79166666666666663</v>
      </c>
      <c r="L11" s="10">
        <f t="shared" si="3"/>
        <v>8.333333333333337E-2</v>
      </c>
      <c r="M11" s="9" t="s">
        <v>442</v>
      </c>
      <c r="N11" s="8"/>
      <c r="O11" s="10" t="str">
        <f t="shared" si="4"/>
        <v/>
      </c>
      <c r="P11" s="9"/>
      <c r="Q11" s="8"/>
      <c r="R11" s="10" t="str">
        <f t="shared" si="5"/>
        <v/>
      </c>
      <c r="S11" s="9"/>
      <c r="T11" s="8"/>
      <c r="U11" s="10" t="str">
        <f t="shared" si="6"/>
        <v/>
      </c>
      <c r="V11" s="9"/>
      <c r="Z11" s="24"/>
    </row>
    <row r="12" spans="1:48">
      <c r="A12" s="12"/>
      <c r="B12" s="8"/>
      <c r="C12" s="10" t="str">
        <f t="shared" si="0"/>
        <v/>
      </c>
      <c r="D12" s="9"/>
      <c r="E12" s="8">
        <v>0.79166666666666663</v>
      </c>
      <c r="F12" s="10">
        <f t="shared" si="1"/>
        <v>8.333333333333337E-2</v>
      </c>
      <c r="G12" s="9" t="s">
        <v>8</v>
      </c>
      <c r="H12" s="8"/>
      <c r="I12" s="10" t="str">
        <f t="shared" si="2"/>
        <v/>
      </c>
      <c r="J12" s="9"/>
      <c r="K12" s="8">
        <v>0.875</v>
      </c>
      <c r="L12" s="10">
        <f t="shared" si="3"/>
        <v>2.083333333333337E-2</v>
      </c>
      <c r="M12" s="9" t="s">
        <v>10</v>
      </c>
      <c r="N12" s="8"/>
      <c r="O12" s="10" t="str">
        <f t="shared" si="4"/>
        <v/>
      </c>
      <c r="P12" s="9"/>
      <c r="Q12" s="8"/>
      <c r="R12" s="10" t="str">
        <f t="shared" si="5"/>
        <v/>
      </c>
      <c r="S12" s="9"/>
      <c r="T12" s="8"/>
      <c r="U12" s="10" t="str">
        <f t="shared" si="6"/>
        <v/>
      </c>
      <c r="V12" s="9"/>
      <c r="Z12" s="24"/>
    </row>
    <row r="13" spans="1:48">
      <c r="A13" s="12"/>
      <c r="B13" s="8"/>
      <c r="C13" s="10" t="str">
        <f t="shared" si="0"/>
        <v/>
      </c>
      <c r="D13" s="9"/>
      <c r="E13" s="8">
        <v>0.875</v>
      </c>
      <c r="F13" s="10" t="str">
        <f t="shared" si="1"/>
        <v/>
      </c>
      <c r="G13" s="9"/>
      <c r="H13" s="8"/>
      <c r="I13" s="10" t="str">
        <f t="shared" si="2"/>
        <v/>
      </c>
      <c r="J13" s="9"/>
      <c r="K13" s="8">
        <v>0.89583333333333337</v>
      </c>
      <c r="L13" s="10" t="str">
        <f t="shared" si="3"/>
        <v/>
      </c>
      <c r="M13" s="9"/>
      <c r="N13" s="8"/>
      <c r="O13" s="10" t="str">
        <f t="shared" si="4"/>
        <v/>
      </c>
      <c r="P13" s="9"/>
      <c r="Q13" s="8"/>
      <c r="R13" s="10" t="str">
        <f t="shared" si="5"/>
        <v/>
      </c>
      <c r="S13" s="9"/>
      <c r="T13" s="8"/>
      <c r="U13" s="10" t="str">
        <f t="shared" si="6"/>
        <v/>
      </c>
      <c r="V13" s="9"/>
      <c r="Z13" s="24"/>
    </row>
    <row r="14" spans="1:48">
      <c r="A14" s="12"/>
      <c r="B14" s="8"/>
      <c r="C14" s="10" t="str">
        <f t="shared" si="0"/>
        <v/>
      </c>
      <c r="D14" s="9"/>
      <c r="E14" s="8"/>
      <c r="F14" s="10" t="str">
        <f t="shared" si="1"/>
        <v/>
      </c>
      <c r="G14" s="9"/>
      <c r="H14" s="8"/>
      <c r="I14" s="10" t="str">
        <f t="shared" si="2"/>
        <v/>
      </c>
      <c r="J14" s="9"/>
      <c r="K14" s="8"/>
      <c r="L14" s="10" t="str">
        <f t="shared" si="3"/>
        <v/>
      </c>
      <c r="M14" s="9"/>
      <c r="N14" s="8"/>
      <c r="O14" s="10" t="str">
        <f t="shared" si="4"/>
        <v/>
      </c>
      <c r="P14" s="9"/>
      <c r="Q14" s="8"/>
      <c r="R14" s="10" t="str">
        <f t="shared" si="5"/>
        <v/>
      </c>
      <c r="S14" s="9"/>
      <c r="T14" s="8"/>
      <c r="U14" s="10" t="str">
        <f t="shared" si="6"/>
        <v/>
      </c>
      <c r="V14" s="9"/>
      <c r="Z14" s="24"/>
    </row>
    <row r="15" spans="1:48">
      <c r="A15" s="12"/>
      <c r="B15" s="8"/>
      <c r="C15" s="10" t="str">
        <f t="shared" si="0"/>
        <v/>
      </c>
      <c r="D15" s="9"/>
      <c r="E15" s="8"/>
      <c r="F15" s="10" t="str">
        <f t="shared" si="1"/>
        <v/>
      </c>
      <c r="G15" s="9"/>
      <c r="H15" s="8"/>
      <c r="I15" s="10" t="str">
        <f t="shared" si="2"/>
        <v/>
      </c>
      <c r="J15" s="9"/>
      <c r="K15" s="8"/>
      <c r="L15" s="10" t="str">
        <f t="shared" si="3"/>
        <v/>
      </c>
      <c r="M15" s="9"/>
      <c r="N15" s="8"/>
      <c r="O15" s="10" t="str">
        <f t="shared" si="4"/>
        <v/>
      </c>
      <c r="P15" s="9"/>
      <c r="Q15" s="8"/>
      <c r="R15" s="10" t="str">
        <f t="shared" si="5"/>
        <v/>
      </c>
      <c r="S15" s="9"/>
      <c r="T15" s="8"/>
      <c r="U15" s="10" t="str">
        <f t="shared" si="6"/>
        <v/>
      </c>
      <c r="V15" s="9"/>
      <c r="Z15" s="24"/>
    </row>
    <row r="16" spans="1:48">
      <c r="A16" s="12"/>
      <c r="B16" s="8"/>
      <c r="C16" s="10" t="str">
        <f t="shared" si="0"/>
        <v/>
      </c>
      <c r="D16" s="9"/>
      <c r="E16" s="8"/>
      <c r="F16" s="10" t="str">
        <f t="shared" si="1"/>
        <v/>
      </c>
      <c r="G16" s="9"/>
      <c r="H16" s="8"/>
      <c r="I16" s="10" t="str">
        <f t="shared" si="2"/>
        <v/>
      </c>
      <c r="J16" s="9"/>
      <c r="K16" s="8"/>
      <c r="L16" s="10" t="str">
        <f t="shared" si="3"/>
        <v/>
      </c>
      <c r="M16" s="9"/>
      <c r="N16" s="8"/>
      <c r="O16" s="10" t="str">
        <f t="shared" si="4"/>
        <v/>
      </c>
      <c r="P16" s="9"/>
      <c r="Q16" s="8"/>
      <c r="R16" s="10" t="str">
        <f t="shared" si="5"/>
        <v/>
      </c>
      <c r="S16" s="9"/>
      <c r="T16" s="8"/>
      <c r="U16" s="10" t="str">
        <f t="shared" si="6"/>
        <v/>
      </c>
      <c r="V16" s="9"/>
      <c r="Z16" s="24"/>
    </row>
    <row r="17" spans="1:48">
      <c r="A17" s="12"/>
      <c r="B17" s="8"/>
      <c r="C17" s="10" t="str">
        <f t="shared" si="0"/>
        <v/>
      </c>
      <c r="D17" s="9"/>
      <c r="E17" s="8"/>
      <c r="F17" s="10" t="str">
        <f t="shared" si="1"/>
        <v/>
      </c>
      <c r="G17" s="9"/>
      <c r="H17" s="8"/>
      <c r="I17" s="10" t="str">
        <f t="shared" si="2"/>
        <v/>
      </c>
      <c r="J17" s="9"/>
      <c r="K17" s="8"/>
      <c r="L17" s="10" t="str">
        <f t="shared" si="3"/>
        <v/>
      </c>
      <c r="M17" s="9"/>
      <c r="N17" s="8"/>
      <c r="O17" s="10" t="str">
        <f t="shared" si="4"/>
        <v/>
      </c>
      <c r="P17" s="9"/>
      <c r="Q17" s="8"/>
      <c r="R17" s="10" t="str">
        <f t="shared" si="5"/>
        <v/>
      </c>
      <c r="S17" s="9"/>
      <c r="T17" s="8"/>
      <c r="U17" s="10" t="str">
        <f t="shared" si="6"/>
        <v/>
      </c>
      <c r="V17" s="9"/>
      <c r="Z17" s="24"/>
    </row>
    <row r="18" spans="1:48">
      <c r="A18" s="12"/>
      <c r="B18" s="8"/>
      <c r="C18" s="10" t="str">
        <f t="shared" si="0"/>
        <v/>
      </c>
      <c r="D18" s="9"/>
      <c r="E18" s="8"/>
      <c r="F18" s="10" t="str">
        <f t="shared" si="1"/>
        <v/>
      </c>
      <c r="G18" s="9"/>
      <c r="H18" s="8"/>
      <c r="I18" s="10" t="str">
        <f t="shared" si="2"/>
        <v/>
      </c>
      <c r="J18" s="9"/>
      <c r="K18" s="8"/>
      <c r="L18" s="10" t="str">
        <f t="shared" si="3"/>
        <v/>
      </c>
      <c r="M18" s="9"/>
      <c r="N18" s="8"/>
      <c r="O18" s="10" t="str">
        <f t="shared" si="4"/>
        <v/>
      </c>
      <c r="P18" s="9"/>
      <c r="Q18" s="8"/>
      <c r="R18" s="10" t="str">
        <f t="shared" si="5"/>
        <v/>
      </c>
      <c r="S18" s="9"/>
      <c r="T18" s="8"/>
      <c r="U18" s="10" t="str">
        <f t="shared" si="6"/>
        <v/>
      </c>
      <c r="V18" s="9"/>
      <c r="Z18" s="24"/>
    </row>
    <row r="19" spans="1:48">
      <c r="A19" s="12"/>
      <c r="B19" s="8"/>
      <c r="C19" s="10" t="str">
        <f t="shared" si="0"/>
        <v/>
      </c>
      <c r="D19" s="9"/>
      <c r="E19" s="8"/>
      <c r="F19" s="10" t="str">
        <f t="shared" si="1"/>
        <v/>
      </c>
      <c r="G19" s="9"/>
      <c r="H19" s="8"/>
      <c r="I19" s="10" t="str">
        <f t="shared" si="2"/>
        <v/>
      </c>
      <c r="J19" s="9"/>
      <c r="K19" s="8"/>
      <c r="L19" s="10" t="str">
        <f t="shared" si="3"/>
        <v/>
      </c>
      <c r="M19" s="9"/>
      <c r="N19" s="8"/>
      <c r="O19" s="10" t="str">
        <f t="shared" si="4"/>
        <v/>
      </c>
      <c r="P19" s="9"/>
      <c r="Q19" s="8"/>
      <c r="R19" s="10" t="str">
        <f t="shared" si="5"/>
        <v/>
      </c>
      <c r="S19" s="9"/>
      <c r="T19" s="8"/>
      <c r="U19" s="10" t="str">
        <f t="shared" si="6"/>
        <v/>
      </c>
      <c r="V19" s="9"/>
      <c r="Z19" s="24"/>
    </row>
    <row r="20" spans="1:48">
      <c r="A20" s="12"/>
      <c r="B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W20" t="s">
        <v>25</v>
      </c>
      <c r="Z20" s="24"/>
    </row>
    <row r="21" spans="1:48">
      <c r="A21" s="7" t="s">
        <v>5</v>
      </c>
      <c r="B21" s="19"/>
      <c r="C21" s="13">
        <v>0</v>
      </c>
      <c r="D21" s="13"/>
      <c r="E21" s="13"/>
      <c r="F21" s="13">
        <v>10</v>
      </c>
      <c r="G21" s="13"/>
      <c r="H21" s="13"/>
      <c r="I21" s="13">
        <v>8</v>
      </c>
      <c r="J21" s="13"/>
      <c r="K21" s="13"/>
      <c r="L21" s="13">
        <v>8</v>
      </c>
      <c r="M21" s="13"/>
      <c r="N21" s="13"/>
      <c r="O21" s="13">
        <v>8</v>
      </c>
      <c r="P21" s="13"/>
      <c r="Q21" s="13"/>
      <c r="R21" s="13">
        <v>2</v>
      </c>
      <c r="S21" s="13"/>
      <c r="T21" s="13"/>
      <c r="U21" s="13">
        <f>IF(AND((COUNTIF(V4:V19,"Krank")=0),COUNTIF(V4:V19,"Feiertag")=0),5,0)</f>
        <v>5</v>
      </c>
      <c r="V21" s="19"/>
      <c r="W21" s="13">
        <f>SUM(C21:V21)</f>
        <v>41</v>
      </c>
      <c r="Z21" s="24"/>
    </row>
    <row r="22" spans="1:48" s="2" customFormat="1">
      <c r="A22" s="7" t="s">
        <v>26</v>
      </c>
      <c r="B22" s="13"/>
      <c r="C22" s="13" cm="1">
        <f t="array" ref="C22">SG_SUMHOURS(C4:C19,D4:D19)</f>
        <v>0</v>
      </c>
      <c r="D22" s="19"/>
      <c r="E22" s="13"/>
      <c r="F22" s="13" cm="1">
        <f t="array" ref="F22">SG_SUMHOURS(F4:F19,G4:G19)</f>
        <v>11.75</v>
      </c>
      <c r="G22" s="13"/>
      <c r="H22" s="13"/>
      <c r="I22" s="13" cm="1">
        <f t="array" ref="I22">SG_SUMHOURS(I4:I19,J4:J19)</f>
        <v>9.9999999999999964</v>
      </c>
      <c r="J22" s="13"/>
      <c r="K22" s="13"/>
      <c r="L22" s="13" cm="1">
        <f t="array" ref="L22">SG_SUMHOURS(L4:L19,M4:M19)</f>
        <v>9.25</v>
      </c>
      <c r="M22" s="13"/>
      <c r="N22" s="13"/>
      <c r="O22" s="13" cm="1">
        <f t="array" ref="O22">SG_SUMHOURS(O4:O19,P4:P19)</f>
        <v>6</v>
      </c>
      <c r="P22" s="13"/>
      <c r="Q22" s="13"/>
      <c r="R22" s="13" cm="1">
        <f t="array" ref="R22">SG_SUMHOURS(R4:R19,S4:S19)</f>
        <v>0</v>
      </c>
      <c r="S22" s="13"/>
      <c r="T22" s="13"/>
      <c r="U22" s="13" cm="1">
        <f t="array" ref="U22">SG_SUMHOURS(U4:U19,V4:V19)</f>
        <v>0</v>
      </c>
      <c r="V22" s="13"/>
      <c r="W22" s="20">
        <f>SUM(C22:V22)</f>
        <v>37</v>
      </c>
      <c r="Z22" s="24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4"/>
      <c r="B23" s="14"/>
      <c r="V23" s="4" t="s">
        <v>389</v>
      </c>
      <c r="W23" s="13">
        <f>W22-W21</f>
        <v>-4</v>
      </c>
      <c r="Z23" s="24"/>
    </row>
    <row r="24" spans="1:48" s="1" customFormat="1">
      <c r="C24" s="11"/>
      <c r="G24" s="1" t="s">
        <v>459</v>
      </c>
      <c r="J24" s="1" t="s">
        <v>460</v>
      </c>
      <c r="M24" s="1" t="s">
        <v>461</v>
      </c>
      <c r="V24" s="4" t="s">
        <v>386</v>
      </c>
      <c r="W24" s="22">
        <v>5.0999999999999996</v>
      </c>
      <c r="Y24"/>
      <c r="Z24" s="24"/>
    </row>
    <row r="25" spans="1:48">
      <c r="V25" s="4" t="s">
        <v>387</v>
      </c>
      <c r="W25" s="20">
        <f>SUM(W23:W24)</f>
        <v>1.0999999999999996</v>
      </c>
      <c r="Z25" s="24"/>
    </row>
    <row r="26" spans="1:48">
      <c r="J26" s="23"/>
      <c r="Z26" s="24"/>
    </row>
    <row r="27" spans="1:48">
      <c r="Z27" s="24"/>
    </row>
    <row r="28" spans="1:48">
      <c r="Z28" s="24"/>
    </row>
  </sheetData>
  <dataValidations count="1">
    <dataValidation type="list" allowBlank="1" showInputMessage="1" showErrorMessage="1" sqref="V4:V19 G4:G19 J4:J19 M4:M19 P4:P19 S4:S19 D4:D19" xr:uid="{66B59702-5D38-45D0-AB73-E4454856BDA1}">
      <formula1>Tätigkeiten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8EF93-F86F-4C83-BF7B-ACA62B64F5BC}">
  <sheetPr codeName="Sheet14"/>
  <dimension ref="A1:AV28"/>
  <sheetViews>
    <sheetView zoomScale="115" zoomScaleNormal="115" workbookViewId="0">
      <selection activeCell="F22" sqref="F22"/>
    </sheetView>
  </sheetViews>
  <sheetFormatPr defaultColWidth="10.90625" defaultRowHeight="14.5"/>
  <cols>
    <col min="1" max="1" width="6.36328125" bestFit="1" customWidth="1"/>
    <col min="2" max="2" width="6.1796875" bestFit="1" customWidth="1"/>
    <col min="3" max="3" width="7.6328125" style="2" customWidth="1"/>
    <col min="4" max="4" width="7.36328125" customWidth="1"/>
    <col min="5" max="5" width="6.1796875" bestFit="1" customWidth="1"/>
    <col min="6" max="6" width="7" customWidth="1"/>
    <col min="7" max="7" width="31.08984375" bestFit="1" customWidth="1"/>
    <col min="8" max="8" width="6.1796875" bestFit="1" customWidth="1"/>
    <col min="9" max="9" width="6.08984375" bestFit="1" customWidth="1"/>
    <col min="10" max="10" width="31.08984375" bestFit="1" customWidth="1"/>
    <col min="11" max="11" width="8" bestFit="1" customWidth="1"/>
    <col min="12" max="12" width="6.08984375" bestFit="1" customWidth="1"/>
    <col min="13" max="13" width="16.36328125" customWidth="1"/>
    <col min="14" max="14" width="7.453125" customWidth="1"/>
    <col min="15" max="15" width="6.08984375" bestFit="1" customWidth="1"/>
    <col min="16" max="16" width="17.6328125" bestFit="1" customWidth="1"/>
    <col min="17" max="17" width="6.1796875" bestFit="1" customWidth="1"/>
    <col min="18" max="18" width="6.08984375" bestFit="1" customWidth="1"/>
    <col min="19" max="19" width="17.6328125" bestFit="1" customWidth="1"/>
    <col min="20" max="20" width="6.1796875" bestFit="1" customWidth="1"/>
    <col min="21" max="21" width="6.08984375" bestFit="1" customWidth="1"/>
    <col min="22" max="22" width="12.6328125" bestFit="1" customWidth="1"/>
    <col min="23" max="23" width="7.1796875" bestFit="1" customWidth="1"/>
    <col min="25" max="25" width="39.36328125" bestFit="1" customWidth="1"/>
  </cols>
  <sheetData>
    <row r="1" spans="1:48" s="1" customFormat="1">
      <c r="A1" s="4" t="s">
        <v>27</v>
      </c>
      <c r="B1" s="4" t="s">
        <v>11</v>
      </c>
      <c r="C1" s="5"/>
      <c r="D1" s="4"/>
      <c r="E1" s="4" t="s">
        <v>13</v>
      </c>
      <c r="F1" s="4"/>
      <c r="G1" s="4"/>
      <c r="H1" s="4" t="s">
        <v>15</v>
      </c>
      <c r="I1" s="4"/>
      <c r="J1" s="4"/>
      <c r="K1" s="4" t="s">
        <v>17</v>
      </c>
      <c r="L1" s="4"/>
      <c r="M1" s="4"/>
      <c r="N1" s="4" t="s">
        <v>19</v>
      </c>
      <c r="O1" s="4"/>
      <c r="P1" s="4"/>
      <c r="Q1" s="4" t="s">
        <v>21</v>
      </c>
      <c r="R1" s="4"/>
      <c r="S1" s="4"/>
      <c r="T1" s="4" t="s">
        <v>23</v>
      </c>
      <c r="U1" s="4"/>
      <c r="V1" s="4"/>
    </row>
    <row r="2" spans="1:48" s="3" customFormat="1">
      <c r="A2" s="21">
        <v>11</v>
      </c>
      <c r="B2" s="6" t="str" cm="1">
        <f t="array" ref="B2">INDEX(KalenderWochen,$A$2,2)</f>
        <v>11.03.</v>
      </c>
      <c r="C2" s="5"/>
      <c r="D2" s="6"/>
      <c r="E2" s="6" t="str" cm="1">
        <f t="array" ref="E2">INDEX(KalenderWochen,$A$2,3)</f>
        <v>12.03.</v>
      </c>
      <c r="F2" s="6"/>
      <c r="G2" s="6"/>
      <c r="H2" s="6" t="str" cm="1">
        <f t="array" ref="H2">INDEX(KalenderWochen,$A$2,4)</f>
        <v>13.03.</v>
      </c>
      <c r="I2" s="6"/>
      <c r="J2" s="6"/>
      <c r="K2" s="6" t="str" cm="1">
        <f t="array" ref="K2">INDEX(KalenderWochen,$A$2,5)</f>
        <v>14.03.</v>
      </c>
      <c r="L2" s="6"/>
      <c r="M2" s="6"/>
      <c r="N2" s="6" t="str" cm="1">
        <f t="array" ref="N2">INDEX(KalenderWochen,$A$2,6)</f>
        <v>15.03.</v>
      </c>
      <c r="O2" s="6"/>
      <c r="P2" s="6"/>
      <c r="Q2" s="6" t="str" cm="1">
        <f t="array" ref="Q2">INDEX(KalenderWochen,$A$2,7)</f>
        <v>16.03.</v>
      </c>
      <c r="R2" s="6"/>
      <c r="S2" s="6"/>
      <c r="T2" s="6" t="str" cm="1">
        <f t="array" ref="T2">INDEX(KalenderWochen,$A$2,8)</f>
        <v>17.03.</v>
      </c>
      <c r="U2" s="6"/>
      <c r="V2" s="6"/>
      <c r="Y2"/>
      <c r="Z2" s="24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s="1" customFormat="1">
      <c r="A3" s="4"/>
      <c r="B3" s="4" t="s">
        <v>0</v>
      </c>
      <c r="C3" s="7" t="s">
        <v>1</v>
      </c>
      <c r="D3" s="4" t="s">
        <v>2</v>
      </c>
      <c r="E3" s="4" t="s">
        <v>0</v>
      </c>
      <c r="F3" s="4" t="s">
        <v>1</v>
      </c>
      <c r="G3" s="4" t="s">
        <v>2</v>
      </c>
      <c r="H3" s="4" t="s">
        <v>0</v>
      </c>
      <c r="I3" s="4" t="s">
        <v>1</v>
      </c>
      <c r="J3" s="4" t="s">
        <v>2</v>
      </c>
      <c r="K3" s="4" t="s">
        <v>0</v>
      </c>
      <c r="L3" s="4" t="s">
        <v>1</v>
      </c>
      <c r="M3" s="4" t="s">
        <v>2</v>
      </c>
      <c r="N3" s="4" t="s">
        <v>0</v>
      </c>
      <c r="O3" s="4" t="s">
        <v>1</v>
      </c>
      <c r="P3" s="4" t="s">
        <v>2</v>
      </c>
      <c r="Q3" s="4" t="s">
        <v>0</v>
      </c>
      <c r="R3" s="4" t="s">
        <v>1</v>
      </c>
      <c r="S3" s="4" t="s">
        <v>2</v>
      </c>
      <c r="T3" s="4" t="s">
        <v>0</v>
      </c>
      <c r="U3" s="4" t="s">
        <v>1</v>
      </c>
      <c r="V3" s="4" t="s">
        <v>2</v>
      </c>
      <c r="Y3"/>
    </row>
    <row r="4" spans="1:48">
      <c r="A4" s="12"/>
      <c r="B4" s="8">
        <v>0.38194444444444442</v>
      </c>
      <c r="C4" s="10">
        <f>IF(ISBLANK(B5),"",(B5-B4))</f>
        <v>1.3888888888888895E-2</v>
      </c>
      <c r="D4" s="9" t="s">
        <v>10</v>
      </c>
      <c r="E4" s="8">
        <v>0.32291666666666669</v>
      </c>
      <c r="F4" s="10">
        <f>IF(ISBLANK(E5),"",(E5-E4))</f>
        <v>1.041666666666663E-2</v>
      </c>
      <c r="G4" s="9" t="s">
        <v>433</v>
      </c>
      <c r="H4" s="8">
        <v>0.33333333333333331</v>
      </c>
      <c r="I4" s="10">
        <f>IF(ISBLANK(H5),"",(H5-H4))</f>
        <v>4.1666666666666685E-2</v>
      </c>
      <c r="J4" s="9" t="s">
        <v>10</v>
      </c>
      <c r="K4" s="8">
        <v>0.375</v>
      </c>
      <c r="L4" s="10">
        <f>IF(ISBLANK(K5),"",(K5-K4))</f>
        <v>4.1666666666666685E-2</v>
      </c>
      <c r="M4" s="9" t="s">
        <v>433</v>
      </c>
      <c r="N4" s="8"/>
      <c r="O4" s="10" t="str">
        <f>IF(ISBLANK(N5),"",(N5-N4))</f>
        <v/>
      </c>
      <c r="P4" s="9"/>
      <c r="Q4" s="8"/>
      <c r="R4" s="10" t="str">
        <f>IF(ISBLANK(Q5),"",(Q5-Q4))</f>
        <v/>
      </c>
      <c r="S4" s="9"/>
      <c r="T4" s="8"/>
      <c r="U4" s="10" t="str">
        <f>IF(ISBLANK(T5),"",(T5-T4))</f>
        <v/>
      </c>
      <c r="V4" s="9"/>
      <c r="Z4" s="24"/>
    </row>
    <row r="5" spans="1:48">
      <c r="A5" s="12"/>
      <c r="B5" s="8">
        <v>0.39583333333333331</v>
      </c>
      <c r="C5" s="10">
        <f t="shared" ref="C5:C19" si="0">IF(ISBLANK(B6),"",(B6-B5))</f>
        <v>5.208333333333337E-2</v>
      </c>
      <c r="D5" s="9" t="s">
        <v>417</v>
      </c>
      <c r="E5" s="8">
        <v>0.33333333333333331</v>
      </c>
      <c r="F5" s="10">
        <f t="shared" ref="F5:F19" si="1">IF(ISBLANK(E6),"",(E6-E5))</f>
        <v>1.0416666666666685E-2</v>
      </c>
      <c r="G5" s="9" t="s">
        <v>10</v>
      </c>
      <c r="H5" s="8">
        <v>0.375</v>
      </c>
      <c r="I5" s="10">
        <f t="shared" ref="I5:I19" si="2">IF(ISBLANK(H6),"",(H6-H5))</f>
        <v>0.14583333333333337</v>
      </c>
      <c r="J5" s="9" t="s">
        <v>415</v>
      </c>
      <c r="K5" s="8">
        <v>0.41666666666666669</v>
      </c>
      <c r="L5" s="10">
        <f t="shared" ref="L5:L19" si="3">IF(ISBLANK(K6),"",(K6-K5))</f>
        <v>5.2083333333333315E-2</v>
      </c>
      <c r="M5" s="9" t="s">
        <v>422</v>
      </c>
      <c r="N5" s="8"/>
      <c r="O5" s="10" t="str">
        <f t="shared" ref="O5:O19" si="4">IF(ISBLANK(N6),"",(N6-N5))</f>
        <v/>
      </c>
      <c r="P5" s="9"/>
      <c r="Q5" s="8"/>
      <c r="R5" s="10" t="str">
        <f t="shared" ref="R5:R19" si="5">IF(ISBLANK(Q6),"",(Q6-Q5))</f>
        <v/>
      </c>
      <c r="S5" s="9"/>
      <c r="T5" s="8"/>
      <c r="U5" s="10" t="str">
        <f t="shared" ref="U5:U19" si="6">IF(ISBLANK(T6),"",(T6-T5))</f>
        <v/>
      </c>
      <c r="V5" s="9"/>
      <c r="Z5" s="24"/>
    </row>
    <row r="6" spans="1:48">
      <c r="A6" s="12"/>
      <c r="B6" s="8">
        <v>0.44791666666666669</v>
      </c>
      <c r="C6" s="10">
        <f t="shared" si="0"/>
        <v>1.041666666666663E-2</v>
      </c>
      <c r="D6" s="9" t="s">
        <v>10</v>
      </c>
      <c r="E6" s="8">
        <v>0.34375</v>
      </c>
      <c r="F6" s="10">
        <f t="shared" si="1"/>
        <v>7.2916666666666685E-2</v>
      </c>
      <c r="G6" s="9" t="s">
        <v>436</v>
      </c>
      <c r="H6" s="8">
        <v>0.52083333333333337</v>
      </c>
      <c r="I6" s="10">
        <f t="shared" si="2"/>
        <v>3.125E-2</v>
      </c>
      <c r="J6" s="9" t="s">
        <v>10</v>
      </c>
      <c r="K6" s="8">
        <v>0.46875</v>
      </c>
      <c r="L6" s="10">
        <f t="shared" si="3"/>
        <v>3.125E-2</v>
      </c>
      <c r="M6" s="9" t="s">
        <v>438</v>
      </c>
      <c r="N6" s="8"/>
      <c r="O6" s="10" t="str">
        <f t="shared" si="4"/>
        <v/>
      </c>
      <c r="P6" s="9"/>
      <c r="Q6" s="8"/>
      <c r="R6" s="10" t="str">
        <f t="shared" si="5"/>
        <v/>
      </c>
      <c r="S6" s="9"/>
      <c r="T6" s="8"/>
      <c r="U6" s="10" t="str">
        <f t="shared" si="6"/>
        <v/>
      </c>
      <c r="V6" s="9"/>
      <c r="Z6" s="24"/>
    </row>
    <row r="7" spans="1:48">
      <c r="A7" s="12"/>
      <c r="B7" s="8">
        <v>0.45833333333333331</v>
      </c>
      <c r="C7" s="10">
        <f t="shared" si="0"/>
        <v>0.43750000000000006</v>
      </c>
      <c r="D7" s="9" t="s">
        <v>3</v>
      </c>
      <c r="E7" s="8">
        <v>0.41666666666666669</v>
      </c>
      <c r="F7" s="10">
        <f t="shared" si="1"/>
        <v>1.041666666666663E-2</v>
      </c>
      <c r="G7" s="9" t="s">
        <v>10</v>
      </c>
      <c r="H7" s="8">
        <v>0.55208333333333337</v>
      </c>
      <c r="I7" s="10">
        <f t="shared" si="2"/>
        <v>0.11458333333333326</v>
      </c>
      <c r="J7" s="9" t="s">
        <v>444</v>
      </c>
      <c r="K7" s="8">
        <v>0.5</v>
      </c>
      <c r="L7" s="10">
        <f t="shared" si="3"/>
        <v>4.166666666666663E-2</v>
      </c>
      <c r="M7" s="9" t="s">
        <v>3</v>
      </c>
      <c r="N7" s="8"/>
      <c r="O7" s="10" t="str">
        <f t="shared" si="4"/>
        <v/>
      </c>
      <c r="P7" s="9"/>
      <c r="Q7" s="8"/>
      <c r="R7" s="10" t="str">
        <f t="shared" si="5"/>
        <v/>
      </c>
      <c r="S7" s="9"/>
      <c r="T7" s="8"/>
      <c r="U7" s="10" t="str">
        <f t="shared" si="6"/>
        <v/>
      </c>
      <c r="V7" s="9"/>
      <c r="Z7" s="24"/>
    </row>
    <row r="8" spans="1:48">
      <c r="A8" s="12"/>
      <c r="B8" s="8">
        <v>0.89583333333333337</v>
      </c>
      <c r="C8" s="10">
        <f t="shared" si="0"/>
        <v>2.0833333333333259E-2</v>
      </c>
      <c r="D8" s="9" t="s">
        <v>411</v>
      </c>
      <c r="E8" s="8">
        <v>0.42708333333333331</v>
      </c>
      <c r="F8" s="10">
        <f t="shared" si="1"/>
        <v>6.25E-2</v>
      </c>
      <c r="G8" s="9" t="s">
        <v>433</v>
      </c>
      <c r="H8" s="8">
        <v>0.66666666666666663</v>
      </c>
      <c r="I8" s="10">
        <f t="shared" si="2"/>
        <v>0.125</v>
      </c>
      <c r="J8" s="9" t="s">
        <v>3</v>
      </c>
      <c r="K8" s="8">
        <v>0.54166666666666663</v>
      </c>
      <c r="L8" s="10">
        <f t="shared" si="3"/>
        <v>7.2916666666666741E-2</v>
      </c>
      <c r="M8" s="9" t="s">
        <v>433</v>
      </c>
      <c r="N8" s="8"/>
      <c r="O8" s="10" t="str">
        <f t="shared" si="4"/>
        <v/>
      </c>
      <c r="P8" s="9"/>
      <c r="Q8" s="8"/>
      <c r="R8" s="10" t="str">
        <f t="shared" si="5"/>
        <v/>
      </c>
      <c r="S8" s="9"/>
      <c r="T8" s="8"/>
      <c r="U8" s="10" t="str">
        <f t="shared" si="6"/>
        <v/>
      </c>
      <c r="V8" s="9"/>
      <c r="Z8" s="24"/>
    </row>
    <row r="9" spans="1:48">
      <c r="A9" s="12"/>
      <c r="B9" s="8">
        <v>0.91666666666666663</v>
      </c>
      <c r="C9" s="10" t="str">
        <f t="shared" si="0"/>
        <v/>
      </c>
      <c r="D9" s="9"/>
      <c r="E9" s="8">
        <v>0.48958333333333331</v>
      </c>
      <c r="F9" s="10">
        <f t="shared" si="1"/>
        <v>1.0416666666666685E-2</v>
      </c>
      <c r="G9" s="9" t="s">
        <v>10</v>
      </c>
      <c r="H9" s="8">
        <v>0.79166666666666663</v>
      </c>
      <c r="I9" s="10">
        <f t="shared" si="2"/>
        <v>8.333333333333337E-2</v>
      </c>
      <c r="J9" s="9" t="s">
        <v>6</v>
      </c>
      <c r="K9" s="8">
        <v>0.61458333333333337</v>
      </c>
      <c r="L9" s="10">
        <f t="shared" si="3"/>
        <v>1.041666666666663E-2</v>
      </c>
      <c r="M9" s="9" t="s">
        <v>10</v>
      </c>
      <c r="N9" s="8"/>
      <c r="O9" s="10" t="str">
        <f t="shared" si="4"/>
        <v/>
      </c>
      <c r="P9" s="9"/>
      <c r="Q9" s="8"/>
      <c r="R9" s="10" t="str">
        <f t="shared" si="5"/>
        <v/>
      </c>
      <c r="S9" s="9"/>
      <c r="T9" s="8"/>
      <c r="U9" s="10" t="str">
        <f t="shared" si="6"/>
        <v/>
      </c>
      <c r="V9" s="9"/>
      <c r="Z9" s="24"/>
    </row>
    <row r="10" spans="1:48">
      <c r="A10" s="12"/>
      <c r="B10" s="8"/>
      <c r="C10" s="10" t="str">
        <f t="shared" si="0"/>
        <v/>
      </c>
      <c r="D10" s="9"/>
      <c r="E10" s="8">
        <v>0.5</v>
      </c>
      <c r="F10" s="10">
        <f t="shared" si="1"/>
        <v>5.208333333333337E-2</v>
      </c>
      <c r="G10" s="9" t="s">
        <v>426</v>
      </c>
      <c r="H10" s="8">
        <v>0.875</v>
      </c>
      <c r="I10" s="10" t="str">
        <f t="shared" si="2"/>
        <v/>
      </c>
      <c r="J10" s="9"/>
      <c r="K10" s="8">
        <v>0.625</v>
      </c>
      <c r="L10" s="10">
        <f t="shared" si="3"/>
        <v>6.25E-2</v>
      </c>
      <c r="M10" s="9" t="s">
        <v>423</v>
      </c>
      <c r="N10" s="8"/>
      <c r="O10" s="10" t="str">
        <f t="shared" si="4"/>
        <v/>
      </c>
      <c r="P10" s="9"/>
      <c r="Q10" s="8"/>
      <c r="R10" s="10" t="str">
        <f t="shared" si="5"/>
        <v/>
      </c>
      <c r="S10" s="9"/>
      <c r="T10" s="8"/>
      <c r="U10" s="10" t="str">
        <f t="shared" si="6"/>
        <v/>
      </c>
      <c r="V10" s="9"/>
      <c r="Z10" s="24"/>
    </row>
    <row r="11" spans="1:48">
      <c r="A11" s="12"/>
      <c r="B11" s="8"/>
      <c r="C11" s="10" t="str">
        <f t="shared" si="0"/>
        <v/>
      </c>
      <c r="D11" s="9"/>
      <c r="E11" s="8">
        <v>0.55208333333333337</v>
      </c>
      <c r="F11" s="10">
        <f t="shared" si="1"/>
        <v>2.0833333333333259E-2</v>
      </c>
      <c r="G11" s="9" t="s">
        <v>3</v>
      </c>
      <c r="H11" s="8"/>
      <c r="I11" s="10" t="str">
        <f t="shared" si="2"/>
        <v/>
      </c>
      <c r="J11" s="9"/>
      <c r="K11" s="8">
        <v>0.6875</v>
      </c>
      <c r="L11" s="10">
        <f t="shared" si="3"/>
        <v>3.125E-2</v>
      </c>
      <c r="M11" s="9" t="s">
        <v>438</v>
      </c>
      <c r="N11" s="8"/>
      <c r="O11" s="10" t="str">
        <f t="shared" si="4"/>
        <v/>
      </c>
      <c r="P11" s="9"/>
      <c r="Q11" s="8"/>
      <c r="R11" s="10" t="str">
        <f t="shared" si="5"/>
        <v/>
      </c>
      <c r="S11" s="9"/>
      <c r="T11" s="8"/>
      <c r="U11" s="10" t="str">
        <f t="shared" si="6"/>
        <v/>
      </c>
      <c r="V11" s="9"/>
      <c r="Z11" s="24"/>
    </row>
    <row r="12" spans="1:48">
      <c r="A12" s="12"/>
      <c r="B12" s="8"/>
      <c r="C12" s="10" t="str">
        <f t="shared" si="0"/>
        <v/>
      </c>
      <c r="D12" s="9"/>
      <c r="E12" s="8">
        <v>0.57291666666666663</v>
      </c>
      <c r="F12" s="10">
        <f t="shared" si="1"/>
        <v>2.083333333333337E-2</v>
      </c>
      <c r="G12" s="9" t="s">
        <v>433</v>
      </c>
      <c r="H12" s="8"/>
      <c r="I12" s="10" t="str">
        <f t="shared" si="2"/>
        <v/>
      </c>
      <c r="J12" s="9"/>
      <c r="K12" s="8">
        <v>0.71875</v>
      </c>
      <c r="L12" s="10">
        <f t="shared" si="3"/>
        <v>4.166666666666663E-2</v>
      </c>
      <c r="M12" s="9" t="s">
        <v>3</v>
      </c>
      <c r="N12" s="8"/>
      <c r="O12" s="10" t="str">
        <f t="shared" si="4"/>
        <v/>
      </c>
      <c r="P12" s="9"/>
      <c r="Q12" s="8"/>
      <c r="R12" s="10" t="str">
        <f t="shared" si="5"/>
        <v/>
      </c>
      <c r="S12" s="9"/>
      <c r="T12" s="8"/>
      <c r="U12" s="10" t="str">
        <f t="shared" si="6"/>
        <v/>
      </c>
      <c r="V12" s="9"/>
      <c r="Z12" s="24"/>
    </row>
    <row r="13" spans="1:48">
      <c r="A13" s="12"/>
      <c r="B13" s="8"/>
      <c r="C13" s="10" t="str">
        <f t="shared" si="0"/>
        <v/>
      </c>
      <c r="D13" s="9"/>
      <c r="E13" s="8">
        <v>0.59375</v>
      </c>
      <c r="F13" s="10">
        <f t="shared" si="1"/>
        <v>5.208333333333337E-2</v>
      </c>
      <c r="G13" s="9" t="s">
        <v>3</v>
      </c>
      <c r="H13" s="8"/>
      <c r="I13" s="10" t="str">
        <f t="shared" si="2"/>
        <v/>
      </c>
      <c r="J13" s="9"/>
      <c r="K13" s="8">
        <v>0.76041666666666663</v>
      </c>
      <c r="L13" s="10">
        <f t="shared" si="3"/>
        <v>2.083333333333337E-2</v>
      </c>
      <c r="M13" s="9" t="s">
        <v>441</v>
      </c>
      <c r="N13" s="8"/>
      <c r="O13" s="10" t="str">
        <f t="shared" si="4"/>
        <v/>
      </c>
      <c r="P13" s="9"/>
      <c r="Q13" s="8"/>
      <c r="R13" s="10" t="str">
        <f t="shared" si="5"/>
        <v/>
      </c>
      <c r="S13" s="9"/>
      <c r="T13" s="8"/>
      <c r="U13" s="10" t="str">
        <f t="shared" si="6"/>
        <v/>
      </c>
      <c r="V13" s="9"/>
      <c r="Z13" s="24"/>
    </row>
    <row r="14" spans="1:48">
      <c r="A14" s="12"/>
      <c r="B14" s="8"/>
      <c r="C14" s="10" t="str">
        <f t="shared" si="0"/>
        <v/>
      </c>
      <c r="D14" s="9"/>
      <c r="E14" s="8">
        <v>0.64583333333333337</v>
      </c>
      <c r="F14" s="10">
        <f t="shared" si="1"/>
        <v>4.166666666666663E-2</v>
      </c>
      <c r="G14" s="9" t="s">
        <v>420</v>
      </c>
      <c r="H14" s="8"/>
      <c r="I14" s="10" t="str">
        <f t="shared" si="2"/>
        <v/>
      </c>
      <c r="J14" s="9"/>
      <c r="K14" s="8">
        <v>0.78125</v>
      </c>
      <c r="L14" s="10" t="str">
        <f t="shared" si="3"/>
        <v/>
      </c>
      <c r="M14" s="9"/>
      <c r="N14" s="8"/>
      <c r="O14" s="10" t="str">
        <f t="shared" si="4"/>
        <v/>
      </c>
      <c r="P14" s="9"/>
      <c r="Q14" s="8"/>
      <c r="R14" s="10" t="str">
        <f t="shared" si="5"/>
        <v/>
      </c>
      <c r="S14" s="9"/>
      <c r="T14" s="8"/>
      <c r="U14" s="10" t="str">
        <f t="shared" si="6"/>
        <v/>
      </c>
      <c r="V14" s="9"/>
      <c r="Z14" s="24"/>
    </row>
    <row r="15" spans="1:48">
      <c r="A15" s="12"/>
      <c r="B15" s="8"/>
      <c r="C15" s="10" t="str">
        <f t="shared" si="0"/>
        <v/>
      </c>
      <c r="D15" s="9"/>
      <c r="E15" s="8">
        <v>0.6875</v>
      </c>
      <c r="F15" s="10">
        <f t="shared" si="1"/>
        <v>6.25E-2</v>
      </c>
      <c r="G15" s="9" t="s">
        <v>410</v>
      </c>
      <c r="H15" s="8"/>
      <c r="I15" s="10" t="str">
        <f t="shared" si="2"/>
        <v/>
      </c>
      <c r="J15" s="9"/>
      <c r="K15" s="8"/>
      <c r="L15" s="10" t="str">
        <f t="shared" si="3"/>
        <v/>
      </c>
      <c r="M15" s="9"/>
      <c r="N15" s="8"/>
      <c r="O15" s="10" t="str">
        <f t="shared" si="4"/>
        <v/>
      </c>
      <c r="P15" s="9"/>
      <c r="Q15" s="8"/>
      <c r="R15" s="10" t="str">
        <f t="shared" si="5"/>
        <v/>
      </c>
      <c r="S15" s="9"/>
      <c r="T15" s="8"/>
      <c r="U15" s="10" t="str">
        <f t="shared" si="6"/>
        <v/>
      </c>
      <c r="V15" s="9"/>
      <c r="Z15" s="24"/>
    </row>
    <row r="16" spans="1:48">
      <c r="A16" s="12"/>
      <c r="B16" s="8"/>
      <c r="C16" s="10" t="str">
        <f t="shared" si="0"/>
        <v/>
      </c>
      <c r="D16" s="9"/>
      <c r="E16" s="8">
        <v>0.75</v>
      </c>
      <c r="F16" s="10">
        <f t="shared" si="1"/>
        <v>2.083333333333337E-2</v>
      </c>
      <c r="G16" s="9" t="s">
        <v>3</v>
      </c>
      <c r="H16" s="8"/>
      <c r="I16" s="10" t="str">
        <f t="shared" si="2"/>
        <v/>
      </c>
      <c r="J16" s="9"/>
      <c r="K16" s="8"/>
      <c r="L16" s="10" t="str">
        <f t="shared" si="3"/>
        <v/>
      </c>
      <c r="M16" s="9"/>
      <c r="N16" s="8"/>
      <c r="O16" s="10" t="str">
        <f t="shared" si="4"/>
        <v/>
      </c>
      <c r="P16" s="9"/>
      <c r="Q16" s="8"/>
      <c r="R16" s="10" t="str">
        <f t="shared" si="5"/>
        <v/>
      </c>
      <c r="S16" s="9"/>
      <c r="T16" s="8"/>
      <c r="U16" s="10" t="str">
        <f t="shared" si="6"/>
        <v/>
      </c>
      <c r="V16" s="9"/>
      <c r="Z16" s="24"/>
    </row>
    <row r="17" spans="1:48">
      <c r="A17" s="12"/>
      <c r="B17" s="8"/>
      <c r="C17" s="10" t="str">
        <f t="shared" si="0"/>
        <v/>
      </c>
      <c r="D17" s="9"/>
      <c r="E17" s="8">
        <v>0.77083333333333337</v>
      </c>
      <c r="F17" s="10">
        <f t="shared" si="1"/>
        <v>0.14583333333333326</v>
      </c>
      <c r="G17" s="9" t="s">
        <v>419</v>
      </c>
      <c r="H17" s="8"/>
      <c r="I17" s="10" t="str">
        <f t="shared" si="2"/>
        <v/>
      </c>
      <c r="J17" s="9"/>
      <c r="K17" s="8"/>
      <c r="L17" s="10" t="str">
        <f t="shared" si="3"/>
        <v/>
      </c>
      <c r="M17" s="9"/>
      <c r="N17" s="8"/>
      <c r="O17" s="10" t="str">
        <f t="shared" si="4"/>
        <v/>
      </c>
      <c r="P17" s="9"/>
      <c r="Q17" s="8"/>
      <c r="R17" s="10" t="str">
        <f t="shared" si="5"/>
        <v/>
      </c>
      <c r="S17" s="9"/>
      <c r="T17" s="8"/>
      <c r="U17" s="10" t="str">
        <f t="shared" si="6"/>
        <v/>
      </c>
      <c r="V17" s="9"/>
      <c r="Z17" s="24"/>
    </row>
    <row r="18" spans="1:48">
      <c r="A18" s="12"/>
      <c r="B18" s="8"/>
      <c r="C18" s="10" t="str">
        <f t="shared" si="0"/>
        <v/>
      </c>
      <c r="D18" s="9"/>
      <c r="E18" s="8">
        <v>0.91666666666666663</v>
      </c>
      <c r="F18" s="10" t="str">
        <f t="shared" si="1"/>
        <v/>
      </c>
      <c r="G18" s="9"/>
      <c r="H18" s="8"/>
      <c r="I18" s="10" t="str">
        <f t="shared" si="2"/>
        <v/>
      </c>
      <c r="J18" s="9"/>
      <c r="K18" s="8"/>
      <c r="L18" s="10" t="str">
        <f t="shared" si="3"/>
        <v/>
      </c>
      <c r="M18" s="9"/>
      <c r="N18" s="8"/>
      <c r="O18" s="10" t="str">
        <f t="shared" si="4"/>
        <v/>
      </c>
      <c r="P18" s="9"/>
      <c r="Q18" s="8"/>
      <c r="R18" s="10" t="str">
        <f t="shared" si="5"/>
        <v/>
      </c>
      <c r="S18" s="9"/>
      <c r="T18" s="8"/>
      <c r="U18" s="10" t="str">
        <f t="shared" si="6"/>
        <v/>
      </c>
      <c r="V18" s="9"/>
      <c r="Z18" s="24"/>
    </row>
    <row r="19" spans="1:48">
      <c r="A19" s="12"/>
      <c r="B19" s="8"/>
      <c r="C19" s="10" t="str">
        <f t="shared" si="0"/>
        <v/>
      </c>
      <c r="D19" s="9"/>
      <c r="E19" s="8"/>
      <c r="F19" s="10" t="str">
        <f t="shared" si="1"/>
        <v/>
      </c>
      <c r="G19" s="9"/>
      <c r="H19" s="8"/>
      <c r="I19" s="10" t="str">
        <f t="shared" si="2"/>
        <v/>
      </c>
      <c r="J19" s="9"/>
      <c r="K19" s="8"/>
      <c r="L19" s="10" t="str">
        <f t="shared" si="3"/>
        <v/>
      </c>
      <c r="M19" s="9"/>
      <c r="N19" s="8"/>
      <c r="O19" s="10" t="str">
        <f t="shared" si="4"/>
        <v/>
      </c>
      <c r="P19" s="9"/>
      <c r="Q19" s="8"/>
      <c r="R19" s="10" t="str">
        <f t="shared" si="5"/>
        <v/>
      </c>
      <c r="S19" s="9"/>
      <c r="T19" s="8"/>
      <c r="U19" s="10" t="str">
        <f t="shared" si="6"/>
        <v/>
      </c>
      <c r="V19" s="9"/>
      <c r="Z19" s="24"/>
    </row>
    <row r="20" spans="1:48">
      <c r="A20" s="12"/>
      <c r="B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W20" t="s">
        <v>25</v>
      </c>
      <c r="Z20" s="24"/>
    </row>
    <row r="21" spans="1:48">
      <c r="A21" s="7" t="s">
        <v>5</v>
      </c>
      <c r="B21" s="19"/>
      <c r="C21" s="13">
        <v>0</v>
      </c>
      <c r="D21" s="13"/>
      <c r="E21" s="13"/>
      <c r="F21" s="13">
        <v>10</v>
      </c>
      <c r="G21" s="13"/>
      <c r="H21" s="13"/>
      <c r="I21" s="13">
        <v>8</v>
      </c>
      <c r="J21" s="13"/>
      <c r="K21" s="13"/>
      <c r="L21" s="13">
        <v>8</v>
      </c>
      <c r="M21" s="13"/>
      <c r="N21" s="13"/>
      <c r="O21" s="13">
        <v>8</v>
      </c>
      <c r="P21" s="13"/>
      <c r="Q21" s="13"/>
      <c r="R21" s="13">
        <v>2</v>
      </c>
      <c r="S21" s="13"/>
      <c r="T21" s="13"/>
      <c r="U21" s="13">
        <f>IF(AND((COUNTIF(V4:V19,"Krank")=0),COUNTIF(V4:V19,"Feiertag")=0),5,0)</f>
        <v>5</v>
      </c>
      <c r="V21" s="19"/>
      <c r="W21" s="13">
        <f>SUM(C21:V21)</f>
        <v>41</v>
      </c>
      <c r="Z21" s="24"/>
    </row>
    <row r="22" spans="1:48" s="2" customFormat="1">
      <c r="A22" s="7" t="s">
        <v>26</v>
      </c>
      <c r="B22" s="13"/>
      <c r="C22" s="13" cm="1">
        <f t="array" ref="C22">SG_SUMHOURS(C4:C19,D4:D19)</f>
        <v>2.3333333333333317</v>
      </c>
      <c r="D22" s="19"/>
      <c r="E22" s="13"/>
      <c r="F22" s="13" cm="1">
        <f t="array" ref="F22">SG_SUMHOURS(F4:F19,G4:G19)</f>
        <v>11.999999999999998</v>
      </c>
      <c r="G22" s="13"/>
      <c r="H22" s="13"/>
      <c r="I22" s="13" cm="1">
        <f t="array" ref="I22">SG_SUMHOURS(I4:I19,J4:J19)</f>
        <v>10</v>
      </c>
      <c r="J22" s="13"/>
      <c r="K22" s="13"/>
      <c r="L22" s="13" cm="1">
        <f t="array" ref="L22">SG_SUMHOURS(L4:L19,M4:M19)</f>
        <v>7.7500000000000018</v>
      </c>
      <c r="M22" s="13"/>
      <c r="N22" s="13"/>
      <c r="O22" s="13" cm="1">
        <f t="array" ref="O22">SG_SUMHOURS(O4:O19,P4:P19)</f>
        <v>0</v>
      </c>
      <c r="P22" s="13"/>
      <c r="Q22" s="13"/>
      <c r="R22" s="13" cm="1">
        <f t="array" ref="R22">SG_SUMHOURS(R4:R19,S4:S19)</f>
        <v>0</v>
      </c>
      <c r="S22" s="13"/>
      <c r="T22" s="13"/>
      <c r="U22" s="13" cm="1">
        <f t="array" ref="U22">SG_SUMHOURS(U4:U19,V4:V19)</f>
        <v>0</v>
      </c>
      <c r="V22" s="13"/>
      <c r="W22" s="20">
        <f>SUM(C22:V22)</f>
        <v>32.083333333333329</v>
      </c>
      <c r="Z22" s="24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4"/>
      <c r="B23" s="14"/>
      <c r="V23" s="4" t="s">
        <v>389</v>
      </c>
      <c r="W23" s="13">
        <f>W22-W21</f>
        <v>-8.9166666666666714</v>
      </c>
      <c r="Z23" s="24"/>
    </row>
    <row r="24" spans="1:48" s="1" customFormat="1">
      <c r="C24" s="11"/>
      <c r="D24" s="1" t="s">
        <v>462</v>
      </c>
      <c r="V24" s="4" t="s">
        <v>386</v>
      </c>
      <c r="W24" s="22">
        <v>1</v>
      </c>
      <c r="Y24"/>
      <c r="Z24" s="24"/>
    </row>
    <row r="25" spans="1:48">
      <c r="V25" s="4" t="s">
        <v>387</v>
      </c>
      <c r="W25" s="20">
        <f>SUM(W23:W24)</f>
        <v>-7.9166666666666714</v>
      </c>
      <c r="Z25" s="24"/>
    </row>
    <row r="26" spans="1:48">
      <c r="J26" s="23"/>
      <c r="Z26" s="24"/>
    </row>
    <row r="27" spans="1:48">
      <c r="Z27" s="24"/>
    </row>
    <row r="28" spans="1:48">
      <c r="M28" t="s">
        <v>463</v>
      </c>
      <c r="Z28" s="24"/>
    </row>
  </sheetData>
  <dataValidations count="1">
    <dataValidation type="list" allowBlank="1" showInputMessage="1" showErrorMessage="1" sqref="V4:V19 G4:G19 J4:J19 M4:M19 P4:P19 S4:S19 D4:D19" xr:uid="{E98BEC14-4FC8-4413-A101-669BD1CEE56B}">
      <formula1>Tätigkeiten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1BC5F-D8B3-4689-AEBF-C569F53B6A80}">
  <sheetPr codeName="Sheet7"/>
  <dimension ref="A1:C49"/>
  <sheetViews>
    <sheetView tabSelected="1" zoomScale="85" zoomScaleNormal="85" workbookViewId="0">
      <selection activeCell="G20" sqref="G20"/>
    </sheetView>
  </sheetViews>
  <sheetFormatPr defaultColWidth="8.90625" defaultRowHeight="14.5"/>
  <cols>
    <col min="1" max="1" width="28.90625" customWidth="1"/>
    <col min="2" max="2" width="8.81640625" style="26"/>
    <col min="3" max="3" width="12.453125" customWidth="1"/>
  </cols>
  <sheetData>
    <row r="1" spans="1:3">
      <c r="B1" s="26" t="s">
        <v>25</v>
      </c>
      <c r="C1" t="s">
        <v>464</v>
      </c>
    </row>
    <row r="2" spans="1:3">
      <c r="A2" s="1" t="s">
        <v>387</v>
      </c>
      <c r="B2" s="30">
        <f ca="1">SUM(B3:B66)</f>
        <v>367.08333333333337</v>
      </c>
      <c r="C2" s="30">
        <f ca="1">SUM(C3:C66)</f>
        <v>32.900000000000006</v>
      </c>
    </row>
    <row r="3" spans="1:3">
      <c r="A3" t="str" cm="1">
        <f t="array" aca="1" ref="A3:C49" ca="1">IF(NOW()&lt;&gt;0,SG_SUMMARY(),0)</f>
        <v>Allg. Orga, Mails</v>
      </c>
      <c r="B3" s="26">
        <f ca="1"/>
        <v>48.166666666666671</v>
      </c>
      <c r="C3">
        <f ca="1"/>
        <v>4.4000000000000004</v>
      </c>
    </row>
    <row r="4" spans="1:3">
      <c r="A4" t="str">
        <f ca="1"/>
        <v>Andachten / Heimgottesdienste</v>
      </c>
      <c r="B4" s="26">
        <f ca="1"/>
        <v>5.9999999999999982</v>
      </c>
      <c r="C4">
        <f ca="1"/>
        <v>0.5</v>
      </c>
    </row>
    <row r="5" spans="1:3">
      <c r="A5" t="str">
        <f ca="1"/>
        <v>Andachtenvorbereitung</v>
      </c>
      <c r="B5" s="26">
        <f ca="1"/>
        <v>4.7499999999999982</v>
      </c>
      <c r="C5">
        <f ca="1"/>
        <v>0.4</v>
      </c>
    </row>
    <row r="6" spans="1:3">
      <c r="A6" t="str">
        <f ca="1"/>
        <v>Ausschuss Bau</v>
      </c>
      <c r="B6" s="26" t="str">
        <f ca="1"/>
        <v/>
      </c>
      <c r="C6" t="str">
        <f ca="1"/>
        <v/>
      </c>
    </row>
    <row r="7" spans="1:3">
      <c r="A7" t="str">
        <f ca="1"/>
        <v>Ausschuss Finanzen</v>
      </c>
      <c r="B7" s="26" t="str">
        <f ca="1"/>
        <v/>
      </c>
      <c r="C7" t="str">
        <f ca="1"/>
        <v/>
      </c>
    </row>
    <row r="8" spans="1:3">
      <c r="A8" t="str">
        <f ca="1"/>
        <v>Ausschuss Gemeindeaufbau</v>
      </c>
      <c r="B8" s="26" t="str">
        <f ca="1"/>
        <v/>
      </c>
      <c r="C8" t="str">
        <f ca="1"/>
        <v/>
      </c>
    </row>
    <row r="9" spans="1:3">
      <c r="A9" t="str">
        <f ca="1"/>
        <v>Ausschuss sonstiges</v>
      </c>
      <c r="B9" s="26">
        <f ca="1"/>
        <v>7.7500000000000018</v>
      </c>
      <c r="C9">
        <f ca="1"/>
        <v>0.7</v>
      </c>
    </row>
    <row r="10" spans="1:3">
      <c r="A10" t="str">
        <f ca="1"/>
        <v>Ausschuss Verwaltung</v>
      </c>
      <c r="B10" s="26" t="str">
        <f ca="1"/>
        <v/>
      </c>
      <c r="C10" t="str">
        <f ca="1"/>
        <v/>
      </c>
    </row>
    <row r="11" spans="1:3">
      <c r="A11" t="str">
        <f ca="1"/>
        <v>Bauberatung</v>
      </c>
      <c r="B11" s="26" t="str">
        <f ca="1"/>
        <v/>
      </c>
      <c r="C11" t="str">
        <f ca="1"/>
        <v/>
      </c>
    </row>
    <row r="12" spans="1:3">
      <c r="A12" t="str">
        <f ca="1"/>
        <v>Beerdigung</v>
      </c>
      <c r="B12" s="26" t="str">
        <f ca="1"/>
        <v/>
      </c>
      <c r="C12" t="str">
        <f ca="1"/>
        <v/>
      </c>
    </row>
    <row r="13" spans="1:3">
      <c r="A13" t="str">
        <f ca="1"/>
        <v>Beerdigung Vorbereitung</v>
      </c>
      <c r="B13" s="26">
        <f ca="1"/>
        <v>0.50000000000000089</v>
      </c>
      <c r="C13">
        <f ca="1"/>
        <v>0</v>
      </c>
    </row>
    <row r="14" spans="1:3">
      <c r="A14" t="str">
        <f ca="1"/>
        <v>Beerdigung Nachsorge</v>
      </c>
      <c r="B14" s="26" t="str">
        <f ca="1"/>
        <v/>
      </c>
      <c r="C14" t="str">
        <f ca="1"/>
        <v/>
      </c>
    </row>
    <row r="15" spans="1:3">
      <c r="A15" t="str">
        <f ca="1"/>
        <v>DB Gruna-Seidnitz</v>
      </c>
      <c r="B15" s="26">
        <f ca="1"/>
        <v>9.7500000000000036</v>
      </c>
      <c r="C15">
        <f ca="1"/>
        <v>0.9</v>
      </c>
    </row>
    <row r="16" spans="1:3">
      <c r="A16" t="str">
        <f ca="1"/>
        <v>DB Ost</v>
      </c>
      <c r="B16" s="26">
        <f ca="1"/>
        <v>3.666666666666667</v>
      </c>
      <c r="C16">
        <f ca="1"/>
        <v>0.3</v>
      </c>
    </row>
    <row r="17" spans="1:3">
      <c r="A17" t="str">
        <f ca="1"/>
        <v>DB Verkündigung</v>
      </c>
      <c r="B17" s="26">
        <f ca="1"/>
        <v>1.7500000000000004</v>
      </c>
      <c r="C17">
        <f ca="1"/>
        <v>0.2</v>
      </c>
    </row>
    <row r="18" spans="1:3">
      <c r="A18" t="str">
        <f ca="1"/>
        <v>DB sonstiges</v>
      </c>
      <c r="B18" s="26">
        <f ca="1"/>
        <v>0.50000000000000089</v>
      </c>
      <c r="C18">
        <f ca="1"/>
        <v>0</v>
      </c>
    </row>
    <row r="19" spans="1:3">
      <c r="A19" t="str">
        <f ca="1"/>
        <v>DB Verw.</v>
      </c>
      <c r="B19" s="26">
        <f ca="1"/>
        <v>11.5</v>
      </c>
      <c r="C19">
        <f ca="1"/>
        <v>1</v>
      </c>
    </row>
    <row r="20" spans="1:3">
      <c r="A20" t="str">
        <f ca="1"/>
        <v>Diakonisches</v>
      </c>
      <c r="B20" s="26" t="str">
        <f ca="1"/>
        <v/>
      </c>
      <c r="C20" t="str">
        <f ca="1"/>
        <v/>
      </c>
    </row>
    <row r="21" spans="1:3">
      <c r="A21" t="str">
        <f ca="1"/>
        <v>Fahrt</v>
      </c>
      <c r="B21" s="26">
        <f ca="1"/>
        <v>15.5</v>
      </c>
      <c r="C21">
        <f ca="1"/>
        <v>1.4</v>
      </c>
    </row>
    <row r="22" spans="1:3">
      <c r="A22" t="str">
        <f ca="1"/>
        <v>Fortbildung</v>
      </c>
      <c r="B22" s="26" t="str">
        <f ca="1"/>
        <v/>
      </c>
      <c r="C22" t="str">
        <f ca="1"/>
        <v/>
      </c>
    </row>
    <row r="23" spans="1:3">
      <c r="A23" t="str">
        <f ca="1"/>
        <v>Konfirmandenunterricht</v>
      </c>
      <c r="B23" s="26" t="str">
        <f ca="1"/>
        <v/>
      </c>
      <c r="C23" t="str">
        <f ca="1"/>
        <v/>
      </c>
    </row>
    <row r="24" spans="1:3">
      <c r="A24" t="str">
        <f ca="1"/>
        <v>Gemeindeveranstaltung</v>
      </c>
      <c r="B24" s="26" t="str">
        <f ca="1"/>
        <v/>
      </c>
      <c r="C24" t="str">
        <f ca="1"/>
        <v/>
      </c>
    </row>
    <row r="25" spans="1:3">
      <c r="A25" t="str">
        <f ca="1"/>
        <v>Gottesdienst / Predigt</v>
      </c>
      <c r="B25" s="26">
        <f ca="1"/>
        <v>15.83333333333333</v>
      </c>
      <c r="C25">
        <f ca="1"/>
        <v>1.4</v>
      </c>
    </row>
    <row r="26" spans="1:3">
      <c r="A26" t="str">
        <f ca="1"/>
        <v>GD-/Predigtvorbereitung</v>
      </c>
      <c r="B26" s="26">
        <f ca="1"/>
        <v>41.5</v>
      </c>
      <c r="C26">
        <f ca="1"/>
        <v>3.8</v>
      </c>
    </row>
    <row r="27" spans="1:3">
      <c r="A27" t="str">
        <f ca="1"/>
        <v>Gruppen und Kreise</v>
      </c>
      <c r="B27" s="26">
        <f ca="1"/>
        <v>23.416666666666664</v>
      </c>
      <c r="C27">
        <f ca="1"/>
        <v>2.1</v>
      </c>
    </row>
    <row r="28" spans="1:3">
      <c r="A28" t="str">
        <f ca="1"/>
        <v>Gruppenvorbereitung</v>
      </c>
      <c r="B28" s="26">
        <f ca="1"/>
        <v>3.75</v>
      </c>
      <c r="C28">
        <f ca="1"/>
        <v>0.3</v>
      </c>
    </row>
    <row r="29" spans="1:3">
      <c r="A29" t="str">
        <f ca="1"/>
        <v>Hausbesuch (Geburtstag u.a.)</v>
      </c>
      <c r="B29" s="26">
        <f ca="1"/>
        <v>6.25</v>
      </c>
      <c r="C29">
        <f ca="1"/>
        <v>0.6</v>
      </c>
    </row>
    <row r="30" spans="1:3">
      <c r="A30" t="str">
        <f ca="1"/>
        <v>KINA und Öffentlichkeitsarbeit</v>
      </c>
      <c r="B30" s="26">
        <f ca="1"/>
        <v>12.75</v>
      </c>
      <c r="C30">
        <f ca="1"/>
        <v>1.2</v>
      </c>
    </row>
    <row r="31" spans="1:3">
      <c r="A31" t="str">
        <f ca="1"/>
        <v>Kirchenvorstand Sitzung</v>
      </c>
      <c r="B31" s="26">
        <f ca="1"/>
        <v>12.08333333333333</v>
      </c>
      <c r="C31">
        <f ca="1"/>
        <v>1.1000000000000001</v>
      </c>
    </row>
    <row r="32" spans="1:3">
      <c r="A32" t="str">
        <f ca="1"/>
        <v>Kirchenvorstand Vor und Nachbereitung</v>
      </c>
      <c r="B32" s="26">
        <f ca="1"/>
        <v>11.499999999999993</v>
      </c>
      <c r="C32">
        <f ca="1"/>
        <v>1</v>
      </c>
    </row>
    <row r="33" spans="1:3">
      <c r="A33" t="str">
        <f ca="1"/>
        <v>Konvente / Ephoralkonferenzen</v>
      </c>
      <c r="B33" s="26">
        <f ca="1"/>
        <v>43.000000000000007</v>
      </c>
      <c r="C33">
        <f ca="1"/>
        <v>3.9</v>
      </c>
    </row>
    <row r="34" spans="1:3">
      <c r="A34" t="str">
        <f ca="1"/>
        <v>Mitarbeitergespräch</v>
      </c>
      <c r="B34" s="26">
        <f ca="1"/>
        <v>2.5000000000000004</v>
      </c>
      <c r="C34">
        <f ca="1"/>
        <v>0.2</v>
      </c>
    </row>
    <row r="35" spans="1:3">
      <c r="A35" t="str">
        <f ca="1"/>
        <v>Mietangelegenheiten</v>
      </c>
      <c r="B35" s="26">
        <f ca="1"/>
        <v>6.4999999999999982</v>
      </c>
      <c r="C35">
        <f ca="1"/>
        <v>0.6</v>
      </c>
    </row>
    <row r="36" spans="1:3">
      <c r="A36" t="str">
        <f ca="1"/>
        <v>Planung M25-Stellen</v>
      </c>
      <c r="B36" s="26" t="str">
        <f ca="1"/>
        <v/>
      </c>
      <c r="C36" t="str">
        <f ca="1"/>
        <v/>
      </c>
    </row>
    <row r="37" spans="1:3">
      <c r="A37" t="str">
        <f ca="1"/>
        <v>Religionsunterricht</v>
      </c>
      <c r="B37" s="26">
        <f ca="1"/>
        <v>25.749999999999996</v>
      </c>
      <c r="C37">
        <f ca="1"/>
        <v>2.2999999999999998</v>
      </c>
    </row>
    <row r="38" spans="1:3">
      <c r="A38" t="str">
        <f ca="1"/>
        <v>Rüstzeit und -Vorbereitung</v>
      </c>
      <c r="B38" s="26">
        <f ca="1"/>
        <v>2.166666666666667</v>
      </c>
      <c r="C38">
        <f ca="1"/>
        <v>0.2</v>
      </c>
    </row>
    <row r="39" spans="1:3">
      <c r="A39" t="str">
        <f ca="1"/>
        <v>Seelsorge</v>
      </c>
      <c r="B39" s="26">
        <f ca="1"/>
        <v>2.0000000000000009</v>
      </c>
      <c r="C39">
        <f ca="1"/>
        <v>0.2</v>
      </c>
    </row>
    <row r="40" spans="1:3">
      <c r="A40" t="str">
        <f ca="1"/>
        <v>Selbstmanagement</v>
      </c>
      <c r="B40" s="26">
        <f ca="1"/>
        <v>3.7499999999999973</v>
      </c>
      <c r="C40">
        <f ca="1"/>
        <v>0.3</v>
      </c>
    </row>
    <row r="41" spans="1:3">
      <c r="A41" t="str">
        <f ca="1"/>
        <v>Stadtteilarbeit und Repräsentation</v>
      </c>
      <c r="B41" s="26" t="str">
        <f ca="1"/>
        <v/>
      </c>
      <c r="C41" t="str">
        <f ca="1"/>
        <v/>
      </c>
    </row>
    <row r="42" spans="1:3">
      <c r="A42" t="str">
        <f ca="1"/>
        <v>Supervision</v>
      </c>
      <c r="B42" s="26">
        <f ca="1"/>
        <v>0.49999999999999956</v>
      </c>
      <c r="C42">
        <f ca="1"/>
        <v>0</v>
      </c>
    </row>
    <row r="43" spans="1:3">
      <c r="A43" t="str">
        <f ca="1"/>
        <v>Taufe</v>
      </c>
      <c r="B43" s="26" t="str">
        <f ca="1"/>
        <v/>
      </c>
      <c r="C43" t="str">
        <f ca="1"/>
        <v/>
      </c>
    </row>
    <row r="44" spans="1:3">
      <c r="A44" t="str">
        <f ca="1"/>
        <v>Taufgespräch</v>
      </c>
      <c r="B44" s="26">
        <f ca="1"/>
        <v>1.2499999999999996</v>
      </c>
      <c r="C44">
        <f ca="1"/>
        <v>0.1</v>
      </c>
    </row>
    <row r="45" spans="1:3">
      <c r="A45" t="str">
        <f ca="1"/>
        <v>Trauung</v>
      </c>
      <c r="B45" s="26" t="str">
        <f ca="1"/>
        <v/>
      </c>
      <c r="C45" t="str">
        <f ca="1"/>
        <v/>
      </c>
    </row>
    <row r="46" spans="1:3">
      <c r="A46" t="str">
        <f ca="1"/>
        <v>Traugespräch</v>
      </c>
      <c r="B46" s="26">
        <f ca="1"/>
        <v>1.5</v>
      </c>
      <c r="C46">
        <f ca="1"/>
        <v>0.1</v>
      </c>
    </row>
    <row r="47" spans="1:3">
      <c r="A47" t="str">
        <f ca="1"/>
        <v>Übergemeindliche Aufgaben</v>
      </c>
      <c r="B47" s="26">
        <f ca="1"/>
        <v>3.5000000000000009</v>
      </c>
      <c r="C47">
        <f ca="1"/>
        <v>0.3</v>
      </c>
    </row>
    <row r="48" spans="1:3">
      <c r="A48" t="str">
        <f ca="1"/>
        <v>Verwaltung</v>
      </c>
      <c r="B48" s="26">
        <f ca="1"/>
        <v>4.2500000000000009</v>
      </c>
      <c r="C48">
        <f ca="1"/>
        <v>0.4</v>
      </c>
    </row>
    <row r="49" spans="1:3">
      <c r="A49" t="str">
        <f ca="1"/>
        <v>Sonstiges</v>
      </c>
      <c r="B49" s="26">
        <f ca="1"/>
        <v>33.5</v>
      </c>
      <c r="C49">
        <f ca="1"/>
        <v>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2556D-7027-4EF2-930D-502DDCC2D9AD}">
  <sheetPr codeName="Sheet6"/>
  <dimension ref="A1:G49"/>
  <sheetViews>
    <sheetView workbookViewId="0">
      <selection activeCell="D18" sqref="D18"/>
    </sheetView>
  </sheetViews>
  <sheetFormatPr defaultColWidth="8.90625" defaultRowHeight="14.5"/>
  <cols>
    <col min="1" max="1" width="39.36328125" bestFit="1" customWidth="1"/>
    <col min="3" max="3" width="23.81640625" customWidth="1"/>
    <col min="4" max="4" width="39" customWidth="1"/>
    <col min="5" max="5" width="11.453125" customWidth="1"/>
    <col min="6" max="6" width="12" bestFit="1" customWidth="1"/>
  </cols>
  <sheetData>
    <row r="1" spans="1:7">
      <c r="A1" s="1" t="s">
        <v>7</v>
      </c>
      <c r="C1" s="1" t="s">
        <v>383</v>
      </c>
      <c r="D1" s="1" t="s">
        <v>397</v>
      </c>
      <c r="E1" s="1"/>
      <c r="F1" s="1" t="s">
        <v>390</v>
      </c>
    </row>
    <row r="2" spans="1:7">
      <c r="A2" t="s">
        <v>433</v>
      </c>
      <c r="C2" s="1"/>
      <c r="D2" s="1"/>
      <c r="E2" s="1"/>
      <c r="F2" s="1"/>
    </row>
    <row r="3" spans="1:7">
      <c r="A3" t="s">
        <v>406</v>
      </c>
      <c r="C3" s="12" t="s">
        <v>384</v>
      </c>
      <c r="D3" t="s">
        <v>398</v>
      </c>
      <c r="F3" t="s">
        <v>391</v>
      </c>
      <c r="G3" t="s">
        <v>399</v>
      </c>
    </row>
    <row r="4" spans="1:7">
      <c r="A4" t="s">
        <v>421</v>
      </c>
      <c r="C4" s="12"/>
    </row>
    <row r="5" spans="1:7">
      <c r="A5" t="s">
        <v>428</v>
      </c>
      <c r="C5" s="10" t="s">
        <v>385</v>
      </c>
      <c r="D5" t="s">
        <v>398</v>
      </c>
      <c r="G5" t="s">
        <v>392</v>
      </c>
    </row>
    <row r="6" spans="1:7">
      <c r="A6" t="s">
        <v>430</v>
      </c>
      <c r="C6" s="10"/>
    </row>
    <row r="7" spans="1:7">
      <c r="A7" t="s">
        <v>429</v>
      </c>
      <c r="C7" s="9" t="s">
        <v>388</v>
      </c>
      <c r="G7" t="s">
        <v>394</v>
      </c>
    </row>
    <row r="8" spans="1:7">
      <c r="A8" t="s">
        <v>442</v>
      </c>
      <c r="C8" s="9"/>
    </row>
    <row r="9" spans="1:7">
      <c r="A9" t="s">
        <v>465</v>
      </c>
      <c r="C9" s="22" t="s">
        <v>396</v>
      </c>
      <c r="G9" t="s">
        <v>393</v>
      </c>
    </row>
    <row r="10" spans="1:7">
      <c r="A10" t="s">
        <v>432</v>
      </c>
      <c r="C10" s="22"/>
    </row>
    <row r="11" spans="1:7">
      <c r="A11" t="s">
        <v>409</v>
      </c>
      <c r="C11" s="22"/>
    </row>
    <row r="12" spans="1:7">
      <c r="A12" t="s">
        <v>434</v>
      </c>
      <c r="G12" t="s">
        <v>395</v>
      </c>
    </row>
    <row r="13" spans="1:7">
      <c r="A13" t="s">
        <v>435</v>
      </c>
    </row>
    <row r="14" spans="1:7">
      <c r="A14" t="s">
        <v>436</v>
      </c>
    </row>
    <row r="15" spans="1:7">
      <c r="A15" t="s">
        <v>425</v>
      </c>
      <c r="F15" t="s">
        <v>400</v>
      </c>
      <c r="G15" t="s">
        <v>404</v>
      </c>
    </row>
    <row r="16" spans="1:7">
      <c r="A16" t="s">
        <v>427</v>
      </c>
    </row>
    <row r="17" spans="1:7">
      <c r="A17" t="s">
        <v>441</v>
      </c>
      <c r="G17" t="s">
        <v>401</v>
      </c>
    </row>
    <row r="18" spans="1:7">
      <c r="A18" t="s">
        <v>426</v>
      </c>
      <c r="G18" t="s">
        <v>402</v>
      </c>
    </row>
    <row r="19" spans="1:7">
      <c r="A19" t="s">
        <v>413</v>
      </c>
      <c r="G19" t="s">
        <v>403</v>
      </c>
    </row>
    <row r="20" spans="1:7">
      <c r="A20" t="s">
        <v>10</v>
      </c>
      <c r="G20" t="s">
        <v>405</v>
      </c>
    </row>
    <row r="21" spans="1:7">
      <c r="A21" t="s">
        <v>416</v>
      </c>
    </row>
    <row r="22" spans="1:7">
      <c r="A22" t="s">
        <v>445</v>
      </c>
    </row>
    <row r="23" spans="1:7">
      <c r="A23" t="s">
        <v>443</v>
      </c>
    </row>
    <row r="24" spans="1:7">
      <c r="A24" t="s">
        <v>437</v>
      </c>
    </row>
    <row r="25" spans="1:7">
      <c r="A25" s="25" t="s">
        <v>438</v>
      </c>
    </row>
    <row r="26" spans="1:7">
      <c r="A26" t="s">
        <v>410</v>
      </c>
    </row>
    <row r="27" spans="1:7">
      <c r="A27" t="s">
        <v>424</v>
      </c>
    </row>
    <row r="28" spans="1:7">
      <c r="A28" t="s">
        <v>440</v>
      </c>
    </row>
    <row r="29" spans="1:7">
      <c r="A29" t="s">
        <v>412</v>
      </c>
    </row>
    <row r="30" spans="1:7">
      <c r="A30" t="s">
        <v>419</v>
      </c>
    </row>
    <row r="31" spans="1:7">
      <c r="A31" t="s">
        <v>420</v>
      </c>
    </row>
    <row r="32" spans="1:7">
      <c r="A32" t="s">
        <v>415</v>
      </c>
    </row>
    <row r="33" spans="1:1">
      <c r="A33" t="s">
        <v>9</v>
      </c>
    </row>
    <row r="34" spans="1:1">
      <c r="A34" t="s">
        <v>418</v>
      </c>
    </row>
    <row r="35" spans="1:1">
      <c r="A35" t="s">
        <v>3</v>
      </c>
    </row>
    <row r="36" spans="1:1">
      <c r="A36" t="s">
        <v>4</v>
      </c>
    </row>
    <row r="37" spans="1:1">
      <c r="A37" t="s">
        <v>444</v>
      </c>
    </row>
    <row r="38" spans="1:1">
      <c r="A38" t="s">
        <v>454</v>
      </c>
    </row>
    <row r="39" spans="1:1">
      <c r="A39" t="s">
        <v>6</v>
      </c>
    </row>
    <row r="40" spans="1:1">
      <c r="A40" t="s">
        <v>411</v>
      </c>
    </row>
    <row r="41" spans="1:1">
      <c r="A41" t="s">
        <v>414</v>
      </c>
    </row>
    <row r="42" spans="1:1">
      <c r="A42" t="s">
        <v>439</v>
      </c>
    </row>
    <row r="43" spans="1:1">
      <c r="A43" t="s">
        <v>407</v>
      </c>
    </row>
    <row r="44" spans="1:1">
      <c r="A44" t="s">
        <v>422</v>
      </c>
    </row>
    <row r="45" spans="1:1">
      <c r="A45" t="s">
        <v>408</v>
      </c>
    </row>
    <row r="46" spans="1:1">
      <c r="A46" t="s">
        <v>423</v>
      </c>
    </row>
    <row r="47" spans="1:1">
      <c r="A47" t="s">
        <v>8</v>
      </c>
    </row>
    <row r="48" spans="1:1">
      <c r="A48" t="s">
        <v>448</v>
      </c>
    </row>
    <row r="49" spans="1:1">
      <c r="A49" t="s">
        <v>417</v>
      </c>
    </row>
  </sheetData>
  <phoneticPr fontId="2" type="noConversion"/>
  <dataValidations count="1">
    <dataValidation type="list" allowBlank="1" showInputMessage="1" showErrorMessage="1" sqref="A41:A42" xr:uid="{A123A666-FAE3-4A5F-BCF6-F4C3BFF74532}">
      <formula1>Tätigkeiten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C7BED8-8A85-4D34-B891-1E57BE6B725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KalenderWochen</vt:lpstr>
      <vt:lpstr>Vorlage</vt:lpstr>
      <vt:lpstr>KW1</vt:lpstr>
      <vt:lpstr>KW2</vt:lpstr>
      <vt:lpstr>KW3</vt:lpstr>
      <vt:lpstr>KW4</vt:lpstr>
      <vt:lpstr>KW5</vt:lpstr>
      <vt:lpstr>KW6</vt:lpstr>
      <vt:lpstr>KW7</vt:lpstr>
      <vt:lpstr>KW9</vt:lpstr>
      <vt:lpstr>KW10</vt:lpstr>
      <vt:lpstr>KW11</vt:lpstr>
      <vt:lpstr>Auswertung</vt:lpstr>
      <vt:lpstr>Einstellungen</vt:lpstr>
      <vt:lpstr>KalenderWochen</vt:lpstr>
      <vt:lpstr>Tätigkeiten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Pfarrer Groß</dc:creator>
  <cp:lastModifiedBy>Samuel Gross</cp:lastModifiedBy>
  <dcterms:created xsi:type="dcterms:W3CDTF">2023-10-17T06:35:40Z</dcterms:created>
  <dcterms:modified xsi:type="dcterms:W3CDTF">2025-12-31T17:00:23Z</dcterms:modified>
</cp:coreProperties>
</file>